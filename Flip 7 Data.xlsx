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b39dc15afb2f4832/Documents/Stuff/Github/"/>
    </mc:Choice>
  </mc:AlternateContent>
  <xr:revisionPtr revIDLastSave="2940" documentId="8_{518FECA9-5F80-4709-BD1F-73FC317A950E}" xr6:coauthVersionLast="47" xr6:coauthVersionMax="47" xr10:uidLastSave="{5E7E0C32-BFC6-4E6D-926F-45CB30BB6483}"/>
  <bookViews>
    <workbookView minimized="1" xWindow="0" yWindow="0" windowWidth="2400" windowHeight="585" xr2:uid="{620B4B94-E82A-42AE-95A9-ED21412A2FCA}"/>
  </bookViews>
  <sheets>
    <sheet name="Master Data" sheetId="1" r:id="rId1"/>
    <sheet name="Human No Prob" sheetId="2" r:id="rId2"/>
    <sheet name="Human Prob" sheetId="3" r:id="rId3"/>
    <sheet name="2 Card Bank" sheetId="5" r:id="rId4"/>
    <sheet name="3 Card Bank" sheetId="4" r:id="rId5"/>
    <sheet name="4 Card Bank" sheetId="6" r:id="rId6"/>
    <sheet name="Flip7 or Bust" sheetId="7" r:id="rId7"/>
    <sheet name="Score 20 Bank" sheetId="8" r:id="rId8"/>
    <sheet name="Score 25 Bank" sheetId="9" r:id="rId9"/>
    <sheet name="Score 30 Bank" sheetId="10" r:id="rId10"/>
    <sheet name="Score 35 Bank" sheetId="11" r:id="rId11"/>
    <sheet name="Score 40 Bank" sheetId="12" r:id="rId12"/>
    <sheet name="Cumulative Odds 70%" sheetId="13" r:id="rId13"/>
    <sheet name="Cumulative Odds 60%" sheetId="14" r:id="rId14"/>
    <sheet name="Cumulative Odds 50%" sheetId="15" r:id="rId15"/>
    <sheet name="Cumulative Odds 40%" sheetId="16" r:id="rId16"/>
    <sheet name="Cumulative Odds 30%" sheetId="17" r:id="rId17"/>
    <sheet name="Individual Odds 10%" sheetId="18" r:id="rId18"/>
    <sheet name="Individual Odds 20%" sheetId="19" r:id="rId19"/>
    <sheet name="Individual Odds 30%" sheetId="20" r:id="rId20"/>
    <sheet name="Individual Odds 40%" sheetId="21" r:id="rId21"/>
    <sheet name="Sheet22" sheetId="22" r:id="rId22"/>
    <sheet name="Sheet23" sheetId="23" r:id="rId23"/>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Z5" i="17" l="1"/>
  <c r="Z6" i="17"/>
  <c r="Z7" i="17"/>
  <c r="Z8" i="17"/>
  <c r="Z9" i="17"/>
  <c r="Z10" i="17"/>
  <c r="Z11" i="17"/>
  <c r="Z12" i="17"/>
  <c r="Z3" i="17"/>
  <c r="Z4" i="17"/>
  <c r="Y5" i="17"/>
  <c r="Y6" i="17"/>
  <c r="Y7" i="17"/>
  <c r="Y8" i="17"/>
  <c r="Y9" i="17"/>
  <c r="Y10" i="17"/>
  <c r="Y11" i="17"/>
  <c r="Y12" i="17"/>
  <c r="Y3" i="17"/>
  <c r="X3" i="17"/>
  <c r="X5" i="17"/>
  <c r="X6" i="17"/>
  <c r="X7" i="17"/>
  <c r="X8" i="17"/>
  <c r="X9" i="17"/>
  <c r="X10" i="17"/>
  <c r="X11" i="17"/>
  <c r="X12" i="17"/>
  <c r="X4" i="17"/>
  <c r="Y4" i="17"/>
  <c r="Z3" i="16"/>
  <c r="Z4" i="16"/>
  <c r="Z5" i="16"/>
  <c r="Z6" i="16"/>
  <c r="Z8" i="16"/>
  <c r="Z9" i="16"/>
  <c r="Z10" i="16"/>
  <c r="Z11" i="16"/>
  <c r="Z12" i="16"/>
  <c r="Z7" i="16"/>
  <c r="Y8" i="16"/>
  <c r="Y9" i="16"/>
  <c r="Y10" i="16"/>
  <c r="Y11" i="16"/>
  <c r="Y12" i="16"/>
  <c r="Y3" i="16"/>
  <c r="Y4" i="16"/>
  <c r="Y5" i="16"/>
  <c r="Y6" i="16"/>
  <c r="X3" i="16"/>
  <c r="X4" i="16"/>
  <c r="X5" i="16"/>
  <c r="X6" i="16"/>
  <c r="X8" i="16"/>
  <c r="X9" i="16"/>
  <c r="X10" i="16"/>
  <c r="X11" i="16"/>
  <c r="X12" i="16"/>
  <c r="X7" i="16"/>
  <c r="Y7" i="16"/>
  <c r="X3" i="15"/>
  <c r="X4" i="15"/>
  <c r="X6" i="15"/>
  <c r="X7" i="15"/>
  <c r="X8" i="15"/>
  <c r="X9" i="15"/>
  <c r="X10" i="15"/>
  <c r="X11" i="15"/>
  <c r="X12" i="15"/>
  <c r="Z4" i="15"/>
  <c r="Z5" i="15"/>
  <c r="Z6" i="15"/>
  <c r="Z7" i="15"/>
  <c r="Z8" i="15"/>
  <c r="Z9" i="15"/>
  <c r="Z10" i="15"/>
  <c r="Z11" i="15"/>
  <c r="Z12" i="15"/>
  <c r="Z3" i="15"/>
  <c r="Y6" i="15"/>
  <c r="Y7" i="15"/>
  <c r="Y8" i="15"/>
  <c r="Y9" i="15"/>
  <c r="Y10" i="15"/>
  <c r="Y11" i="15"/>
  <c r="Y12" i="15"/>
  <c r="Y3" i="15"/>
  <c r="Y4" i="15"/>
  <c r="X5" i="15"/>
  <c r="Y5" i="15"/>
  <c r="Z4" i="21"/>
  <c r="Z5" i="21"/>
  <c r="Z6" i="21"/>
  <c r="Z7" i="21"/>
  <c r="Z8" i="21"/>
  <c r="Z9" i="21"/>
  <c r="Z10" i="21"/>
  <c r="Z11" i="21"/>
  <c r="Z12" i="21"/>
  <c r="Z3" i="21"/>
  <c r="Y4" i="21"/>
  <c r="Y5" i="21"/>
  <c r="Y6" i="21"/>
  <c r="Y7" i="21"/>
  <c r="Y8" i="21"/>
  <c r="Y9" i="21"/>
  <c r="Y10" i="21"/>
  <c r="Y11" i="21"/>
  <c r="Y12" i="21"/>
  <c r="Y3" i="21"/>
  <c r="X4" i="21"/>
  <c r="X5" i="21"/>
  <c r="X6" i="21"/>
  <c r="X7" i="21"/>
  <c r="X8" i="21"/>
  <c r="X9" i="21"/>
  <c r="X10" i="21"/>
  <c r="X11" i="21"/>
  <c r="X12" i="21"/>
  <c r="X3" i="21"/>
  <c r="Z4" i="18" l="1"/>
  <c r="Z5" i="18"/>
  <c r="Z6" i="18"/>
  <c r="Z7" i="18"/>
  <c r="Z8" i="18"/>
  <c r="Z9" i="18"/>
  <c r="Z10" i="18"/>
  <c r="Z11" i="18"/>
  <c r="Z12" i="18"/>
  <c r="Z3" i="18"/>
  <c r="Y4" i="18"/>
  <c r="Y5" i="18"/>
  <c r="Y6" i="18"/>
  <c r="Y7" i="18"/>
  <c r="Y8" i="18"/>
  <c r="Y9" i="18"/>
  <c r="Y10" i="18"/>
  <c r="Y11" i="18"/>
  <c r="Y12" i="18"/>
  <c r="Y3" i="18"/>
  <c r="X4" i="18"/>
  <c r="X5" i="18"/>
  <c r="X6" i="18"/>
  <c r="X7" i="18"/>
  <c r="X8" i="18"/>
  <c r="X9" i="18"/>
  <c r="X10" i="18"/>
  <c r="X11" i="18"/>
  <c r="X12" i="18"/>
  <c r="X3" i="18"/>
  <c r="AJ4" i="12"/>
  <c r="AJ5" i="12"/>
  <c r="AJ6" i="12"/>
  <c r="AJ7" i="12"/>
  <c r="AJ8" i="12"/>
  <c r="AJ9" i="12"/>
  <c r="AJ10" i="12"/>
  <c r="AJ11" i="12"/>
  <c r="AJ12" i="12"/>
  <c r="AJ3" i="12"/>
  <c r="AI4" i="12"/>
  <c r="AI5" i="12"/>
  <c r="AI6" i="12"/>
  <c r="AI7" i="12"/>
  <c r="AI8" i="12"/>
  <c r="AI9" i="12"/>
  <c r="AI10" i="12"/>
  <c r="AI11" i="12"/>
  <c r="AI12" i="12"/>
  <c r="AI3" i="12"/>
  <c r="AH4" i="12"/>
  <c r="AH5" i="12"/>
  <c r="AH6" i="12"/>
  <c r="AH7" i="12"/>
  <c r="AH8" i="12"/>
  <c r="AH9" i="12"/>
  <c r="AH10" i="12"/>
  <c r="AH11" i="12"/>
  <c r="AH12" i="12"/>
  <c r="AH3" i="12"/>
  <c r="AK4" i="12"/>
  <c r="AK3" i="12"/>
  <c r="Y9" i="11"/>
  <c r="Y8" i="11"/>
  <c r="Z12" i="11"/>
  <c r="Z4" i="11"/>
  <c r="Z5" i="11"/>
  <c r="Z6" i="11"/>
  <c r="Z7" i="11"/>
  <c r="Z8" i="11"/>
  <c r="Z9" i="11"/>
  <c r="Z10" i="11"/>
  <c r="Z11" i="11"/>
  <c r="Z3" i="11"/>
  <c r="Y4" i="11"/>
  <c r="Y5" i="11"/>
  <c r="Y6" i="11"/>
  <c r="Y7" i="11"/>
  <c r="Y10" i="11"/>
  <c r="Y11" i="11"/>
  <c r="Y12" i="11"/>
  <c r="AA12" i="11" s="1"/>
  <c r="Y3" i="11"/>
  <c r="X4" i="11"/>
  <c r="X5" i="11"/>
  <c r="X6" i="11"/>
  <c r="X7" i="11"/>
  <c r="X8" i="11"/>
  <c r="X9" i="11"/>
  <c r="X10" i="11"/>
  <c r="X11" i="11"/>
  <c r="X12" i="11"/>
  <c r="X3" i="11"/>
  <c r="X4" i="6"/>
  <c r="X5" i="6"/>
  <c r="X6" i="6"/>
  <c r="X7" i="6"/>
  <c r="X8" i="6"/>
  <c r="X9" i="6"/>
  <c r="X10" i="6"/>
  <c r="X11" i="6"/>
  <c r="X12" i="6"/>
  <c r="X3" i="6"/>
  <c r="Y4" i="6"/>
  <c r="Y5" i="6"/>
  <c r="Y6" i="6"/>
  <c r="Y7" i="6"/>
  <c r="Y8" i="6"/>
  <c r="Y9" i="6"/>
  <c r="Y10" i="6"/>
  <c r="Y11" i="6"/>
  <c r="Y12" i="6"/>
  <c r="Y3" i="6"/>
  <c r="Z4" i="6"/>
  <c r="Z5" i="6"/>
  <c r="Z6" i="6"/>
  <c r="Z7" i="6"/>
  <c r="Z8" i="6"/>
  <c r="Z9" i="6"/>
  <c r="Z10" i="6"/>
  <c r="Z11" i="6"/>
  <c r="Z12" i="6"/>
  <c r="Z3" i="6"/>
  <c r="U3" i="4"/>
  <c r="U4" i="4"/>
  <c r="U5" i="4"/>
  <c r="U6" i="4"/>
  <c r="U7" i="4"/>
  <c r="U8" i="4"/>
  <c r="U9" i="4"/>
  <c r="U10" i="4"/>
  <c r="U11" i="4"/>
  <c r="U12" i="4"/>
  <c r="G6" i="1"/>
  <c r="G7" i="1"/>
  <c r="G8" i="1"/>
  <c r="G11" i="1"/>
  <c r="W5" i="10"/>
  <c r="W13" i="7"/>
  <c r="W12" i="7"/>
  <c r="W11" i="7"/>
  <c r="W10" i="7"/>
  <c r="W9" i="7"/>
  <c r="W8" i="7"/>
  <c r="W7" i="7"/>
  <c r="W6" i="7"/>
  <c r="W5" i="7"/>
  <c r="W4" i="7"/>
  <c r="W3" i="7"/>
  <c r="W12" i="2"/>
  <c r="W11" i="2"/>
  <c r="W10" i="2"/>
  <c r="W9" i="2"/>
  <c r="W8" i="2"/>
  <c r="W7" i="2"/>
  <c r="W6" i="2"/>
  <c r="W5" i="2"/>
  <c r="W4" i="2"/>
  <c r="W13" i="2" s="1"/>
  <c r="W3" i="2"/>
  <c r="W3" i="3"/>
  <c r="W11" i="3"/>
  <c r="W12" i="3"/>
  <c r="W10" i="3"/>
  <c r="W9" i="3"/>
  <c r="W8" i="3"/>
  <c r="W7" i="3"/>
  <c r="W6" i="3"/>
  <c r="W5" i="3"/>
  <c r="W4" i="3"/>
  <c r="W13" i="3" s="1"/>
  <c r="AB4" i="5"/>
  <c r="AB5" i="5"/>
  <c r="AB6" i="5"/>
  <c r="AB7" i="5"/>
  <c r="AB3" i="5"/>
  <c r="Z4" i="5"/>
  <c r="Z5" i="5"/>
  <c r="Z6" i="5"/>
  <c r="Z7" i="5"/>
  <c r="Z8" i="5"/>
  <c r="Z9" i="5"/>
  <c r="Z10" i="5"/>
  <c r="Z11" i="5"/>
  <c r="Z12" i="5"/>
  <c r="Z3" i="5"/>
  <c r="Y4" i="5"/>
  <c r="Y5" i="5"/>
  <c r="Y6" i="5"/>
  <c r="Y7" i="5"/>
  <c r="Y8" i="5"/>
  <c r="Y9" i="5"/>
  <c r="Y10" i="5"/>
  <c r="Y11" i="5"/>
  <c r="Y12" i="5"/>
  <c r="Y3" i="5"/>
  <c r="X4" i="5"/>
  <c r="X5" i="5"/>
  <c r="X6" i="5"/>
  <c r="X7" i="5"/>
  <c r="X8" i="5"/>
  <c r="X9" i="5"/>
  <c r="X10" i="5"/>
  <c r="X11" i="5"/>
  <c r="X12" i="5"/>
  <c r="X3" i="5"/>
  <c r="U12" i="2"/>
  <c r="T12" i="2"/>
  <c r="V12" i="2" s="1"/>
  <c r="U11" i="2"/>
  <c r="T11" i="2"/>
  <c r="V11" i="2" s="1"/>
  <c r="U10" i="2"/>
  <c r="V10" i="2" s="1"/>
  <c r="T10" i="2"/>
  <c r="U9" i="2"/>
  <c r="T9" i="2"/>
  <c r="V9" i="2" s="1"/>
  <c r="U8" i="2"/>
  <c r="T8" i="2"/>
  <c r="V8" i="2" s="1"/>
  <c r="V7" i="2"/>
  <c r="U7" i="2"/>
  <c r="T7" i="2"/>
  <c r="V6" i="2"/>
  <c r="U6" i="2"/>
  <c r="T6" i="2"/>
  <c r="U5" i="2"/>
  <c r="T5" i="2"/>
  <c r="V5" i="2" s="1"/>
  <c r="U4" i="2"/>
  <c r="T4" i="2"/>
  <c r="V4" i="2" s="1"/>
  <c r="V3" i="2"/>
  <c r="U3" i="2"/>
  <c r="T3" i="2"/>
  <c r="U12" i="3"/>
  <c r="T12" i="3"/>
  <c r="V12" i="3" s="1"/>
  <c r="U11" i="3"/>
  <c r="T11" i="3"/>
  <c r="V11" i="3" s="1"/>
  <c r="U10" i="3"/>
  <c r="V10" i="3" s="1"/>
  <c r="T10" i="3"/>
  <c r="V9" i="3"/>
  <c r="U9" i="3"/>
  <c r="T9" i="3"/>
  <c r="U8" i="3"/>
  <c r="T8" i="3"/>
  <c r="V8" i="3" s="1"/>
  <c r="V7" i="3"/>
  <c r="U7" i="3"/>
  <c r="T7" i="3"/>
  <c r="U6" i="3"/>
  <c r="T6" i="3"/>
  <c r="V6" i="3" s="1"/>
  <c r="U5" i="3"/>
  <c r="T5" i="3"/>
  <c r="V5" i="3" s="1"/>
  <c r="U4" i="3"/>
  <c r="T4" i="3"/>
  <c r="V4" i="3" s="1"/>
  <c r="U3" i="3"/>
  <c r="T3" i="3"/>
  <c r="V3" i="3" s="1"/>
  <c r="T12" i="4"/>
  <c r="T11" i="4"/>
  <c r="T10" i="4"/>
  <c r="T9" i="4"/>
  <c r="T8" i="4"/>
  <c r="T7" i="4"/>
  <c r="T6" i="4"/>
  <c r="T5" i="4"/>
  <c r="T4" i="4"/>
  <c r="T3" i="4"/>
  <c r="U12" i="7"/>
  <c r="V12" i="7" s="1"/>
  <c r="T12" i="7"/>
  <c r="U11" i="7"/>
  <c r="T11" i="7"/>
  <c r="V11" i="7" s="1"/>
  <c r="U10" i="7"/>
  <c r="T10" i="7"/>
  <c r="V10" i="7" s="1"/>
  <c r="V9" i="7"/>
  <c r="U9" i="7"/>
  <c r="T9" i="7"/>
  <c r="V8" i="7"/>
  <c r="U8" i="7"/>
  <c r="T8" i="7"/>
  <c r="U7" i="7"/>
  <c r="T7" i="7"/>
  <c r="V7" i="7" s="1"/>
  <c r="U6" i="7"/>
  <c r="T6" i="7"/>
  <c r="V6" i="7" s="1"/>
  <c r="U5" i="7"/>
  <c r="T5" i="7"/>
  <c r="T13" i="7" s="1"/>
  <c r="D11" i="1" s="1"/>
  <c r="U4" i="7"/>
  <c r="V4" i="7" s="1"/>
  <c r="T4" i="7"/>
  <c r="U3" i="7"/>
  <c r="U13" i="7" s="1"/>
  <c r="E11" i="1" s="1"/>
  <c r="T3" i="7"/>
  <c r="V3" i="7" s="1"/>
  <c r="U12" i="8"/>
  <c r="T12" i="8"/>
  <c r="U11" i="8"/>
  <c r="T11" i="8"/>
  <c r="U10" i="8"/>
  <c r="T10" i="8"/>
  <c r="U9" i="8"/>
  <c r="T9" i="8"/>
  <c r="U8" i="8"/>
  <c r="T8" i="8"/>
  <c r="U7" i="8"/>
  <c r="T7" i="8"/>
  <c r="U6" i="8"/>
  <c r="T6" i="8"/>
  <c r="U5" i="8"/>
  <c r="T5" i="8"/>
  <c r="U4" i="8"/>
  <c r="T4" i="8"/>
  <c r="U3" i="8"/>
  <c r="T3" i="8"/>
  <c r="U12" i="9"/>
  <c r="T12" i="9"/>
  <c r="U11" i="9"/>
  <c r="T11" i="9"/>
  <c r="V11" i="9" s="1"/>
  <c r="W11" i="9" s="1"/>
  <c r="U10" i="9"/>
  <c r="T10" i="9"/>
  <c r="U9" i="9"/>
  <c r="T9" i="9"/>
  <c r="U8" i="9"/>
  <c r="T8" i="9"/>
  <c r="U7" i="9"/>
  <c r="T7" i="9"/>
  <c r="V7" i="9" s="1"/>
  <c r="U6" i="9"/>
  <c r="T6" i="9"/>
  <c r="U5" i="9"/>
  <c r="T5" i="9"/>
  <c r="U4" i="9"/>
  <c r="T4" i="9"/>
  <c r="U3" i="9"/>
  <c r="T3" i="9"/>
  <c r="U12" i="10"/>
  <c r="T12" i="10"/>
  <c r="U11" i="10"/>
  <c r="T11" i="10"/>
  <c r="U10" i="10"/>
  <c r="T10" i="10"/>
  <c r="U9" i="10"/>
  <c r="T9" i="10"/>
  <c r="U8" i="10"/>
  <c r="T8" i="10"/>
  <c r="U7" i="10"/>
  <c r="T7" i="10"/>
  <c r="V7" i="10" s="1"/>
  <c r="U6" i="10"/>
  <c r="T6" i="10"/>
  <c r="U5" i="10"/>
  <c r="T5" i="10"/>
  <c r="V5" i="10" s="1"/>
  <c r="U4" i="10"/>
  <c r="T4" i="10"/>
  <c r="U3" i="10"/>
  <c r="T3" i="10"/>
  <c r="Z12" i="13"/>
  <c r="Y12" i="13"/>
  <c r="AA12" i="13" s="1"/>
  <c r="Z11" i="13"/>
  <c r="Y11" i="13"/>
  <c r="AA11" i="13" s="1"/>
  <c r="Z10" i="13"/>
  <c r="Y10" i="13"/>
  <c r="Z9" i="13"/>
  <c r="Y9" i="13"/>
  <c r="Z8" i="13"/>
  <c r="Y8" i="13"/>
  <c r="AA8" i="13" s="1"/>
  <c r="AB8" i="13" s="1"/>
  <c r="Z7" i="13"/>
  <c r="Y7" i="13"/>
  <c r="Z6" i="13"/>
  <c r="Y6" i="13"/>
  <c r="AA6" i="13" s="1"/>
  <c r="Z5" i="13"/>
  <c r="Y5" i="13"/>
  <c r="Z4" i="13"/>
  <c r="Y4" i="13"/>
  <c r="Z3" i="13"/>
  <c r="Y3" i="13"/>
  <c r="U12" i="14"/>
  <c r="T12" i="14"/>
  <c r="U11" i="14"/>
  <c r="T11" i="14"/>
  <c r="U10" i="14"/>
  <c r="T10" i="14"/>
  <c r="U9" i="14"/>
  <c r="T9" i="14"/>
  <c r="U8" i="14"/>
  <c r="T8" i="14"/>
  <c r="U7" i="14"/>
  <c r="T7" i="14"/>
  <c r="U6" i="14"/>
  <c r="T6" i="14"/>
  <c r="U5" i="14"/>
  <c r="T5" i="14"/>
  <c r="U4" i="14"/>
  <c r="T4" i="14"/>
  <c r="U3" i="14"/>
  <c r="T3" i="14"/>
  <c r="AA7" i="15"/>
  <c r="AB7" i="15" s="1"/>
  <c r="AA5" i="16"/>
  <c r="AB5" i="16" s="1"/>
  <c r="AA12" i="17"/>
  <c r="AB12" i="17" s="1"/>
  <c r="AA10" i="17"/>
  <c r="AB10" i="17" s="1"/>
  <c r="AA9" i="17"/>
  <c r="AB9" i="17" s="1"/>
  <c r="AA8" i="17"/>
  <c r="AA7" i="17"/>
  <c r="U12" i="19"/>
  <c r="T12" i="19"/>
  <c r="U11" i="19"/>
  <c r="T11" i="19"/>
  <c r="U10" i="19"/>
  <c r="T10" i="19"/>
  <c r="U9" i="19"/>
  <c r="T9" i="19"/>
  <c r="U8" i="19"/>
  <c r="T8" i="19"/>
  <c r="U7" i="19"/>
  <c r="T7" i="19"/>
  <c r="U6" i="19"/>
  <c r="T6" i="19"/>
  <c r="U5" i="19"/>
  <c r="T5" i="19"/>
  <c r="U4" i="19"/>
  <c r="T4" i="19"/>
  <c r="U3" i="19"/>
  <c r="T3" i="19"/>
  <c r="U12" i="20"/>
  <c r="T12" i="20"/>
  <c r="U11" i="20"/>
  <c r="T11" i="20"/>
  <c r="U10" i="20"/>
  <c r="T10" i="20"/>
  <c r="U9" i="20"/>
  <c r="T9" i="20"/>
  <c r="U8" i="20"/>
  <c r="T8" i="20"/>
  <c r="U7" i="20"/>
  <c r="T7" i="20"/>
  <c r="U6" i="20"/>
  <c r="T6" i="20"/>
  <c r="U5" i="20"/>
  <c r="T5" i="20"/>
  <c r="U4" i="20"/>
  <c r="T4" i="20"/>
  <c r="U3" i="20"/>
  <c r="T3" i="20"/>
  <c r="AA4" i="21"/>
  <c r="AB4" i="21" s="1"/>
  <c r="AA5" i="21"/>
  <c r="AB5" i="21" s="1"/>
  <c r="AA6" i="21"/>
  <c r="AB6" i="21" s="1"/>
  <c r="AA7" i="21"/>
  <c r="AB7" i="21" s="1"/>
  <c r="AA8" i="21"/>
  <c r="AB8" i="21" s="1"/>
  <c r="AA9" i="21"/>
  <c r="AB9" i="21" s="1"/>
  <c r="AA10" i="21"/>
  <c r="AB10" i="21" s="1"/>
  <c r="AA11" i="21"/>
  <c r="AB11" i="21" s="1"/>
  <c r="AA12" i="21"/>
  <c r="AB12" i="21" s="1"/>
  <c r="AA3" i="21"/>
  <c r="AB3" i="21" s="1"/>
  <c r="S12" i="20"/>
  <c r="S11" i="20"/>
  <c r="S10" i="20"/>
  <c r="S9" i="20"/>
  <c r="S8" i="20"/>
  <c r="S7" i="20"/>
  <c r="S6" i="20"/>
  <c r="S5" i="20"/>
  <c r="S4" i="20"/>
  <c r="S3" i="20"/>
  <c r="S12" i="19"/>
  <c r="S11" i="19"/>
  <c r="S10" i="19"/>
  <c r="S9" i="19"/>
  <c r="S8" i="19"/>
  <c r="S7" i="19"/>
  <c r="S6" i="19"/>
  <c r="S5" i="19"/>
  <c r="S4" i="19"/>
  <c r="S3" i="19"/>
  <c r="S12" i="14"/>
  <c r="S11" i="14"/>
  <c r="S10" i="14"/>
  <c r="S9" i="14"/>
  <c r="S8" i="14"/>
  <c r="S7" i="14"/>
  <c r="S6" i="14"/>
  <c r="S5" i="14"/>
  <c r="S4" i="14"/>
  <c r="S3" i="14"/>
  <c r="X12" i="13"/>
  <c r="X11" i="13"/>
  <c r="X10" i="13"/>
  <c r="X9" i="13"/>
  <c r="X8" i="13"/>
  <c r="X7" i="13"/>
  <c r="X6" i="13"/>
  <c r="X5" i="13"/>
  <c r="X4" i="13"/>
  <c r="X3" i="13"/>
  <c r="S12" i="10"/>
  <c r="S11" i="10"/>
  <c r="S10" i="10"/>
  <c r="S9" i="10"/>
  <c r="S8" i="10"/>
  <c r="S7" i="10"/>
  <c r="W7" i="10" s="1"/>
  <c r="S6" i="10"/>
  <c r="S5" i="10"/>
  <c r="S4" i="10"/>
  <c r="S3" i="10"/>
  <c r="S12" i="9"/>
  <c r="S11" i="9"/>
  <c r="S10" i="9"/>
  <c r="S9" i="9"/>
  <c r="S8" i="9"/>
  <c r="S7" i="9"/>
  <c r="S6" i="9"/>
  <c r="S5" i="9"/>
  <c r="S4" i="9"/>
  <c r="S3" i="9"/>
  <c r="S12" i="8"/>
  <c r="S11" i="8"/>
  <c r="S10" i="8"/>
  <c r="S9" i="8"/>
  <c r="S8" i="8"/>
  <c r="S7" i="8"/>
  <c r="S6" i="8"/>
  <c r="S5" i="8"/>
  <c r="S4" i="8"/>
  <c r="S3" i="8"/>
  <c r="S12" i="7"/>
  <c r="S11" i="7"/>
  <c r="S10" i="7"/>
  <c r="S9" i="7"/>
  <c r="S8" i="7"/>
  <c r="S7" i="7"/>
  <c r="S6" i="7"/>
  <c r="S5" i="7"/>
  <c r="S4" i="7"/>
  <c r="S3" i="7"/>
  <c r="S12" i="4"/>
  <c r="S11" i="4"/>
  <c r="S10" i="4"/>
  <c r="S9" i="4"/>
  <c r="S8" i="4"/>
  <c r="S7" i="4"/>
  <c r="S6" i="4"/>
  <c r="S5" i="4"/>
  <c r="S4" i="4"/>
  <c r="S3" i="4"/>
  <c r="AA11" i="17" l="1"/>
  <c r="AB11" i="17" s="1"/>
  <c r="AB8" i="17"/>
  <c r="AB7" i="17"/>
  <c r="AA6" i="17"/>
  <c r="AB6" i="17" s="1"/>
  <c r="AA5" i="17"/>
  <c r="AB5" i="17" s="1"/>
  <c r="AA4" i="17"/>
  <c r="AB4" i="17" s="1"/>
  <c r="Z13" i="17"/>
  <c r="E21" i="1" s="1"/>
  <c r="AA3" i="17"/>
  <c r="AB3" i="17" s="1"/>
  <c r="AA12" i="16"/>
  <c r="AB12" i="16" s="1"/>
  <c r="AA11" i="16"/>
  <c r="AB11" i="16" s="1"/>
  <c r="AA10" i="16"/>
  <c r="AB10" i="16" s="1"/>
  <c r="AA9" i="16"/>
  <c r="AB9" i="16" s="1"/>
  <c r="AA8" i="16"/>
  <c r="AB8" i="16" s="1"/>
  <c r="AA7" i="16"/>
  <c r="AB7" i="16" s="1"/>
  <c r="Z13" i="16"/>
  <c r="E20" i="1" s="1"/>
  <c r="AA6" i="16"/>
  <c r="AB6" i="16" s="1"/>
  <c r="AA4" i="16"/>
  <c r="AB4" i="16" s="1"/>
  <c r="AA3" i="16"/>
  <c r="AB3" i="16" s="1"/>
  <c r="Y13" i="16"/>
  <c r="D20" i="1" s="1"/>
  <c r="AA12" i="15"/>
  <c r="AB12" i="15" s="1"/>
  <c r="AA11" i="15"/>
  <c r="AB11" i="15" s="1"/>
  <c r="AA10" i="15"/>
  <c r="AB10" i="15" s="1"/>
  <c r="AA9" i="15"/>
  <c r="AB9" i="15" s="1"/>
  <c r="AA8" i="15"/>
  <c r="AB8" i="15" s="1"/>
  <c r="AA6" i="15"/>
  <c r="AB6" i="15" s="1"/>
  <c r="AA5" i="15"/>
  <c r="AB5" i="15" s="1"/>
  <c r="AA3" i="15"/>
  <c r="AB3" i="15" s="1"/>
  <c r="Z13" i="15"/>
  <c r="E19" i="1" s="1"/>
  <c r="AB13" i="21"/>
  <c r="G25" i="1" s="1"/>
  <c r="V12" i="20"/>
  <c r="W12" i="20" s="1"/>
  <c r="V11" i="20"/>
  <c r="W11" i="20" s="1"/>
  <c r="V10" i="20"/>
  <c r="W10" i="20" s="1"/>
  <c r="V9" i="20"/>
  <c r="W9" i="20" s="1"/>
  <c r="V8" i="20"/>
  <c r="W8" i="20" s="1"/>
  <c r="V7" i="20"/>
  <c r="W7" i="20" s="1"/>
  <c r="V6" i="20"/>
  <c r="W6" i="20" s="1"/>
  <c r="V5" i="20"/>
  <c r="W5" i="20" s="1"/>
  <c r="V4" i="20"/>
  <c r="W4" i="20" s="1"/>
  <c r="U13" i="20"/>
  <c r="E24" i="1" s="1"/>
  <c r="V3" i="20"/>
  <c r="W3" i="20" s="1"/>
  <c r="V12" i="19"/>
  <c r="W12" i="19" s="1"/>
  <c r="V11" i="19"/>
  <c r="W11" i="19" s="1"/>
  <c r="V10" i="19"/>
  <c r="W10" i="19" s="1"/>
  <c r="V9" i="19"/>
  <c r="W9" i="19" s="1"/>
  <c r="V8" i="19"/>
  <c r="W8" i="19" s="1"/>
  <c r="V6" i="19"/>
  <c r="W6" i="19" s="1"/>
  <c r="V5" i="19"/>
  <c r="W5" i="19" s="1"/>
  <c r="V4" i="19"/>
  <c r="W4" i="19" s="1"/>
  <c r="V3" i="19"/>
  <c r="W3" i="19" s="1"/>
  <c r="T13" i="19"/>
  <c r="D23" i="1" s="1"/>
  <c r="U13" i="19"/>
  <c r="E23" i="1" s="1"/>
  <c r="AA12" i="18"/>
  <c r="AB12" i="18" s="1"/>
  <c r="AA11" i="18"/>
  <c r="AB11" i="18" s="1"/>
  <c r="AA10" i="18"/>
  <c r="AB10" i="18" s="1"/>
  <c r="AA9" i="18"/>
  <c r="AB9" i="18" s="1"/>
  <c r="AA8" i="18"/>
  <c r="AB8" i="18" s="1"/>
  <c r="AA7" i="18"/>
  <c r="AB7" i="18" s="1"/>
  <c r="AA6" i="18"/>
  <c r="AB6" i="18" s="1"/>
  <c r="AA5" i="18"/>
  <c r="AB5" i="18" s="1"/>
  <c r="AA4" i="18"/>
  <c r="AB4" i="18" s="1"/>
  <c r="AA3" i="18"/>
  <c r="AB3" i="18" s="1"/>
  <c r="V12" i="14"/>
  <c r="W12" i="14" s="1"/>
  <c r="V11" i="14"/>
  <c r="W11" i="14" s="1"/>
  <c r="V10" i="14"/>
  <c r="W10" i="14" s="1"/>
  <c r="V9" i="14"/>
  <c r="W9" i="14" s="1"/>
  <c r="V8" i="14"/>
  <c r="W8" i="14" s="1"/>
  <c r="V7" i="14"/>
  <c r="W7" i="14" s="1"/>
  <c r="V6" i="14"/>
  <c r="W6" i="14" s="1"/>
  <c r="V5" i="14"/>
  <c r="W5" i="14" s="1"/>
  <c r="V4" i="14"/>
  <c r="W4" i="14" s="1"/>
  <c r="U13" i="14"/>
  <c r="E18" i="1" s="1"/>
  <c r="V3" i="14"/>
  <c r="W3" i="14" s="1"/>
  <c r="AB12" i="13"/>
  <c r="AB11" i="13"/>
  <c r="AA10" i="13"/>
  <c r="AB10" i="13" s="1"/>
  <c r="AA9" i="13"/>
  <c r="AB9" i="13" s="1"/>
  <c r="AB6" i="13"/>
  <c r="AA5" i="13"/>
  <c r="AB5" i="13" s="1"/>
  <c r="AA4" i="13"/>
  <c r="AB4" i="13" s="1"/>
  <c r="Z13" i="13"/>
  <c r="E17" i="1" s="1"/>
  <c r="AA3" i="13"/>
  <c r="AB3" i="13" s="1"/>
  <c r="Y13" i="13"/>
  <c r="D17" i="1" s="1"/>
  <c r="AK12" i="12"/>
  <c r="AL12" i="12" s="1"/>
  <c r="AK9" i="12"/>
  <c r="AL9" i="12" s="1"/>
  <c r="AK8" i="12"/>
  <c r="AL8" i="12" s="1"/>
  <c r="AK7" i="12"/>
  <c r="AL7" i="12" s="1"/>
  <c r="AK6" i="12"/>
  <c r="AL6" i="12" s="1"/>
  <c r="AK5" i="12"/>
  <c r="AL5" i="12" s="1"/>
  <c r="AL4" i="12"/>
  <c r="AJ13" i="12"/>
  <c r="E16" i="1" s="1"/>
  <c r="AK11" i="12"/>
  <c r="AL11" i="12" s="1"/>
  <c r="AK10" i="12"/>
  <c r="AL10" i="12"/>
  <c r="AL3" i="12"/>
  <c r="AB12" i="11"/>
  <c r="AA10" i="11"/>
  <c r="AB10" i="11" s="1"/>
  <c r="AA9" i="11"/>
  <c r="AB9" i="11" s="1"/>
  <c r="AA11" i="11"/>
  <c r="AB11" i="11" s="1"/>
  <c r="AA8" i="11"/>
  <c r="AB8" i="11" s="1"/>
  <c r="AA6" i="11"/>
  <c r="AB6" i="11" s="1"/>
  <c r="AA5" i="11"/>
  <c r="AB5" i="11" s="1"/>
  <c r="AA4" i="11"/>
  <c r="AB4" i="11" s="1"/>
  <c r="AA3" i="11"/>
  <c r="AB3" i="11" s="1"/>
  <c r="Z13" i="11"/>
  <c r="E15" i="1" s="1"/>
  <c r="Y13" i="11"/>
  <c r="D15" i="1" s="1"/>
  <c r="V12" i="10"/>
  <c r="W12" i="10" s="1"/>
  <c r="V11" i="10"/>
  <c r="W11" i="10" s="1"/>
  <c r="V10" i="10"/>
  <c r="W10" i="10" s="1"/>
  <c r="V9" i="10"/>
  <c r="W9" i="10" s="1"/>
  <c r="V8" i="10"/>
  <c r="W8" i="10" s="1"/>
  <c r="V6" i="10"/>
  <c r="W6" i="10" s="1"/>
  <c r="V4" i="10"/>
  <c r="W4" i="10"/>
  <c r="T13" i="10"/>
  <c r="D14" i="1" s="1"/>
  <c r="U13" i="10"/>
  <c r="E14" i="1" s="1"/>
  <c r="V12" i="9"/>
  <c r="W12" i="9" s="1"/>
  <c r="V10" i="9"/>
  <c r="W10" i="9" s="1"/>
  <c r="V9" i="9"/>
  <c r="W9" i="9" s="1"/>
  <c r="V8" i="9"/>
  <c r="W8" i="9" s="1"/>
  <c r="W7" i="9"/>
  <c r="V6" i="9"/>
  <c r="W6" i="9" s="1"/>
  <c r="U13" i="9"/>
  <c r="E13" i="1" s="1"/>
  <c r="V4" i="9"/>
  <c r="W4" i="9" s="1"/>
  <c r="V3" i="9"/>
  <c r="W3" i="9" s="1"/>
  <c r="T13" i="9"/>
  <c r="D13" i="1" s="1"/>
  <c r="V12" i="8"/>
  <c r="W12" i="8" s="1"/>
  <c r="V11" i="8"/>
  <c r="W11" i="8" s="1"/>
  <c r="V10" i="8"/>
  <c r="W10" i="8" s="1"/>
  <c r="V9" i="8"/>
  <c r="W9" i="8" s="1"/>
  <c r="V8" i="8"/>
  <c r="W8" i="8" s="1"/>
  <c r="V7" i="8"/>
  <c r="W7" i="8" s="1"/>
  <c r="V6" i="8"/>
  <c r="W6" i="8" s="1"/>
  <c r="V5" i="8"/>
  <c r="W5" i="8" s="1"/>
  <c r="V3" i="8"/>
  <c r="W3" i="8" s="1"/>
  <c r="U13" i="8"/>
  <c r="E12" i="1" s="1"/>
  <c r="AA8" i="6"/>
  <c r="AB8" i="6" s="1"/>
  <c r="AA12" i="6"/>
  <c r="AB12" i="6" s="1"/>
  <c r="AA7" i="6"/>
  <c r="AB7" i="6" s="1"/>
  <c r="AA5" i="6"/>
  <c r="AB5" i="6" s="1"/>
  <c r="AA11" i="6"/>
  <c r="AB11" i="6" s="1"/>
  <c r="AA10" i="6"/>
  <c r="AB10" i="6" s="1"/>
  <c r="AA9" i="6"/>
  <c r="AB9" i="6" s="1"/>
  <c r="AA6" i="6"/>
  <c r="AB6" i="6" s="1"/>
  <c r="AA4" i="6"/>
  <c r="AB4" i="6" s="1"/>
  <c r="AA3" i="6"/>
  <c r="Y13" i="6"/>
  <c r="D10" i="1" s="1"/>
  <c r="V11" i="4"/>
  <c r="W11" i="4" s="1"/>
  <c r="V10" i="4"/>
  <c r="W10" i="4" s="1"/>
  <c r="V9" i="4"/>
  <c r="W9" i="4" s="1"/>
  <c r="V12" i="4"/>
  <c r="W12" i="4" s="1"/>
  <c r="V8" i="4"/>
  <c r="W8" i="4" s="1"/>
  <c r="V7" i="4"/>
  <c r="W7" i="4" s="1"/>
  <c r="V5" i="4"/>
  <c r="W5" i="4" s="1"/>
  <c r="V4" i="4"/>
  <c r="W4" i="4" s="1"/>
  <c r="V6" i="4"/>
  <c r="W6" i="4" s="1"/>
  <c r="U13" i="4"/>
  <c r="E9" i="1" s="1"/>
  <c r="V3" i="4"/>
  <c r="W3" i="4" s="1"/>
  <c r="AA12" i="5"/>
  <c r="AB12" i="5" s="1"/>
  <c r="AA11" i="5"/>
  <c r="AB11" i="5" s="1"/>
  <c r="AA10" i="5"/>
  <c r="AB10" i="5" s="1"/>
  <c r="AA9" i="5"/>
  <c r="AB9" i="5" s="1"/>
  <c r="AA7" i="5"/>
  <c r="AA5" i="5"/>
  <c r="AA3" i="5"/>
  <c r="AA8" i="5"/>
  <c r="AB8" i="5" s="1"/>
  <c r="Z13" i="5"/>
  <c r="AA6" i="5"/>
  <c r="Y13" i="5"/>
  <c r="D8" i="1" s="1"/>
  <c r="AA13" i="21"/>
  <c r="F25" i="1" s="1"/>
  <c r="AA4" i="5"/>
  <c r="T13" i="4"/>
  <c r="Z13" i="6"/>
  <c r="E10" i="1" s="1"/>
  <c r="V5" i="7"/>
  <c r="V13" i="7" s="1"/>
  <c r="F11" i="1" s="1"/>
  <c r="T13" i="8"/>
  <c r="D12" i="1" s="1"/>
  <c r="V4" i="8"/>
  <c r="W4" i="8" s="1"/>
  <c r="V5" i="9"/>
  <c r="W5" i="9" s="1"/>
  <c r="V3" i="10"/>
  <c r="AA7" i="11"/>
  <c r="AB7" i="11" s="1"/>
  <c r="AI13" i="12"/>
  <c r="D16" i="1" s="1"/>
  <c r="AA7" i="13"/>
  <c r="AB7" i="13" s="1"/>
  <c r="T13" i="14"/>
  <c r="D18" i="1" s="1"/>
  <c r="AA4" i="15"/>
  <c r="AB4" i="15" s="1"/>
  <c r="Y13" i="15"/>
  <c r="D19" i="1" s="1"/>
  <c r="Y13" i="17"/>
  <c r="D21" i="1" s="1"/>
  <c r="Y13" i="18"/>
  <c r="D22" i="1" s="1"/>
  <c r="Z13" i="18"/>
  <c r="E22" i="1" s="1"/>
  <c r="V7" i="19"/>
  <c r="W7" i="19" s="1"/>
  <c r="T13" i="20"/>
  <c r="D24" i="1" s="1"/>
  <c r="Z13" i="21"/>
  <c r="E25" i="1" s="1"/>
  <c r="Y13" i="21"/>
  <c r="D25" i="1" s="1"/>
  <c r="V13" i="3"/>
  <c r="F7" i="1" s="1"/>
  <c r="U13" i="3"/>
  <c r="E7" i="1" s="1"/>
  <c r="T13" i="3"/>
  <c r="D7" i="1" s="1"/>
  <c r="S12" i="3"/>
  <c r="S11" i="3"/>
  <c r="S10" i="3"/>
  <c r="S9" i="3"/>
  <c r="S8" i="3"/>
  <c r="S7" i="3"/>
  <c r="S6" i="3"/>
  <c r="S5" i="3"/>
  <c r="S4" i="3"/>
  <c r="S3" i="3"/>
  <c r="U13" i="2"/>
  <c r="E6" i="1" s="1"/>
  <c r="V13" i="2"/>
  <c r="F6" i="1" s="1"/>
  <c r="T13" i="2"/>
  <c r="D6" i="1" s="1"/>
  <c r="S4" i="2"/>
  <c r="S5" i="2"/>
  <c r="S6" i="2"/>
  <c r="S7" i="2"/>
  <c r="S8" i="2"/>
  <c r="S9" i="2"/>
  <c r="S10" i="2"/>
  <c r="S11" i="2"/>
  <c r="S12" i="2"/>
  <c r="S3" i="2"/>
  <c r="AB13" i="17" l="1"/>
  <c r="G21" i="1" s="1"/>
  <c r="AA13" i="17"/>
  <c r="F21" i="1" s="1"/>
  <c r="AB13" i="16"/>
  <c r="G20" i="1" s="1"/>
  <c r="AA13" i="16"/>
  <c r="F20" i="1" s="1"/>
  <c r="AB13" i="15"/>
  <c r="G19" i="1" s="1"/>
  <c r="AA13" i="15"/>
  <c r="F19" i="1" s="1"/>
  <c r="W13" i="20"/>
  <c r="G24" i="1" s="1"/>
  <c r="V13" i="20"/>
  <c r="F24" i="1" s="1"/>
  <c r="W13" i="19"/>
  <c r="G23" i="1" s="1"/>
  <c r="V13" i="19"/>
  <c r="F23" i="1" s="1"/>
  <c r="AB13" i="18"/>
  <c r="G22" i="1" s="1"/>
  <c r="AA13" i="18"/>
  <c r="F22" i="1" s="1"/>
  <c r="W13" i="14"/>
  <c r="G18" i="1" s="1"/>
  <c r="V13" i="14"/>
  <c r="F18" i="1" s="1"/>
  <c r="AB13" i="13"/>
  <c r="G17" i="1" s="1"/>
  <c r="AA13" i="13"/>
  <c r="F17" i="1" s="1"/>
  <c r="AK13" i="12"/>
  <c r="F16" i="1" s="1"/>
  <c r="AL13" i="12"/>
  <c r="G16" i="1" s="1"/>
  <c r="AB13" i="11"/>
  <c r="G15" i="1" s="1"/>
  <c r="AA13" i="11"/>
  <c r="F15" i="1" s="1"/>
  <c r="V13" i="10"/>
  <c r="F14" i="1" s="1"/>
  <c r="W3" i="10"/>
  <c r="W13" i="10" s="1"/>
  <c r="G14" i="1" s="1"/>
  <c r="W13" i="9"/>
  <c r="G13" i="1" s="1"/>
  <c r="V13" i="9"/>
  <c r="F13" i="1" s="1"/>
  <c r="W13" i="8"/>
  <c r="G12" i="1" s="1"/>
  <c r="V13" i="8"/>
  <c r="F12" i="1" s="1"/>
  <c r="AA13" i="6"/>
  <c r="F10" i="1" s="1"/>
  <c r="AB3" i="6"/>
  <c r="AB13" i="6" s="1"/>
  <c r="G10" i="1" s="1"/>
  <c r="V13" i="4"/>
  <c r="W13" i="4"/>
  <c r="G9" i="1" s="1"/>
  <c r="AB13" i="5"/>
  <c r="AA13" i="5"/>
  <c r="F8" i="1" s="1"/>
  <c r="E8" i="1"/>
  <c r="D9" i="1"/>
  <c r="F9" i="1" l="1"/>
</calcChain>
</file>

<file path=xl/sharedStrings.xml><?xml version="1.0" encoding="utf-8"?>
<sst xmlns="http://schemas.openxmlformats.org/spreadsheetml/2006/main" count="739" uniqueCount="102">
  <si>
    <t>Flip 7 Best Strat Test Data</t>
  </si>
  <si>
    <t>Human (Without Probability)</t>
  </si>
  <si>
    <t>Human (With Probability)</t>
  </si>
  <si>
    <t>Always Bank (3 Cards)</t>
  </si>
  <si>
    <t>Always Bank (4 Cards)</t>
  </si>
  <si>
    <t>Always Bank (2 Cards)</t>
  </si>
  <si>
    <t>Always Bank (Cumulative 60%)</t>
  </si>
  <si>
    <t>Always Bank (Cumulative 70%)</t>
  </si>
  <si>
    <t>Always Bank (Cumulative 50%)</t>
  </si>
  <si>
    <t>Always Bank (Cumulative 40%)</t>
  </si>
  <si>
    <t>Average Rounds to 200</t>
  </si>
  <si>
    <t>Always Bank (Cumulative 30%)</t>
  </si>
  <si>
    <t>Always Bank (Individual 10%)</t>
  </si>
  <si>
    <t>Always Bank (Individual 20%)</t>
  </si>
  <si>
    <t>Always Bank (Individual 30%)</t>
  </si>
  <si>
    <t>Always Bank (Individual 40%)</t>
  </si>
  <si>
    <t>Always Flip 7</t>
  </si>
  <si>
    <t>Human No Probability</t>
  </si>
  <si>
    <t>Game 1</t>
  </si>
  <si>
    <t>Round 1</t>
  </si>
  <si>
    <t>Round 2</t>
  </si>
  <si>
    <t>Round 3</t>
  </si>
  <si>
    <t>Round 4</t>
  </si>
  <si>
    <t>Round 5</t>
  </si>
  <si>
    <t>Round 6</t>
  </si>
  <si>
    <t>Round 7</t>
  </si>
  <si>
    <t>Round 8</t>
  </si>
  <si>
    <t>Round 9</t>
  </si>
  <si>
    <t>Round 10</t>
  </si>
  <si>
    <t>Round 11</t>
  </si>
  <si>
    <t>Round 12</t>
  </si>
  <si>
    <t>Game 2</t>
  </si>
  <si>
    <t>Game 3</t>
  </si>
  <si>
    <t>Game 4</t>
  </si>
  <si>
    <t>Game 5</t>
  </si>
  <si>
    <t>Game 6</t>
  </si>
  <si>
    <t>Game 7</t>
  </si>
  <si>
    <t>Game 8</t>
  </si>
  <si>
    <t>Game 9</t>
  </si>
  <si>
    <t>Game 10</t>
  </si>
  <si>
    <t>Round 13</t>
  </si>
  <si>
    <t>Round 14</t>
  </si>
  <si>
    <t>Round 15</t>
  </si>
  <si>
    <t>Always Bank (Score of 20+)</t>
  </si>
  <si>
    <t>Always Bank (Score of 25+)</t>
  </si>
  <si>
    <t>Always Bank (Score of 30+)</t>
  </si>
  <si>
    <t>Always Bank (Score of 35+)</t>
  </si>
  <si>
    <t>Always Bank (Score of 40+)</t>
  </si>
  <si>
    <t>Total Busts</t>
  </si>
  <si>
    <t>Total Rounds</t>
  </si>
  <si>
    <t>Total</t>
  </si>
  <si>
    <t>Successes</t>
  </si>
  <si>
    <t>Averages:</t>
  </si>
  <si>
    <t>Is done?</t>
  </si>
  <si>
    <t>Human With Probability</t>
  </si>
  <si>
    <t>Always Bank 2 Cards</t>
  </si>
  <si>
    <t>Always Bank 3 Cards</t>
  </si>
  <si>
    <t>Always Bank 4 Cards</t>
  </si>
  <si>
    <t>Always Bank 20+ Points</t>
  </si>
  <si>
    <t>Always Bank 25+ Points</t>
  </si>
  <si>
    <t>Always Bank 30+ Points</t>
  </si>
  <si>
    <t>Always Bank 35+ Points</t>
  </si>
  <si>
    <t>Always Bank 40+ Points</t>
  </si>
  <si>
    <t>Flip until Cumu Odds &lt; 70%</t>
  </si>
  <si>
    <t>Flip until Cumu Odds &lt; 60%</t>
  </si>
  <si>
    <t>Flip until Cumu Odds &lt; 50%</t>
  </si>
  <si>
    <t>Flip until Cumu Odds &lt; 40%</t>
  </si>
  <si>
    <t>Flip until Cumu Odds &lt; 30%</t>
  </si>
  <si>
    <t>Flip until Individual Odds &gt; 10%</t>
  </si>
  <si>
    <t>Flip until Individual Odds &gt; 20%</t>
  </si>
  <si>
    <t>Flip until Individual Odds &gt; 30%</t>
  </si>
  <si>
    <t>Flip until Individual Odds &gt; 40%</t>
  </si>
  <si>
    <t>Round 16</t>
  </si>
  <si>
    <t>Round 17</t>
  </si>
  <si>
    <t>Round 18</t>
  </si>
  <si>
    <t>Round 19</t>
  </si>
  <si>
    <t>Round 20</t>
  </si>
  <si>
    <t>Average Score</t>
  </si>
  <si>
    <t>Average Successful Rounds</t>
  </si>
  <si>
    <t>Average Bust Rounds</t>
  </si>
  <si>
    <t>Round 21</t>
  </si>
  <si>
    <t>Round 22</t>
  </si>
  <si>
    <t>Round 23</t>
  </si>
  <si>
    <t>Round 24</t>
  </si>
  <si>
    <t>Round 25</t>
  </si>
  <si>
    <t>Round 26</t>
  </si>
  <si>
    <t>Round 27</t>
  </si>
  <si>
    <t>Round 28</t>
  </si>
  <si>
    <t>Round 29</t>
  </si>
  <si>
    <t>Round 30</t>
  </si>
  <si>
    <t>Also wont bank 0</t>
  </si>
  <si>
    <t>First set of strategies Tested:</t>
  </si>
  <si>
    <t>Conclusions:</t>
  </si>
  <si>
    <t>The Score 30+ and Probability 30 both yielded promising results. My personal strategy is a close combination of the 2 and leads me to believe there is likely a scorea round 27-32 that’s optimal and that there's a probability that’s best too. The probability is held back by the fact that the human players of the game have no idea of the active probability as it changes as more cards are dealt. I did notice through my testing however that scores closely resembled the probability that was held +/- about 3. So for my second round of testing I want to test the new more spefic score values, probability values, a combined strategy that only banks once either condition is met and a heuristical approach to the probabily that uses a simple calculation that a regular person could do to understand tehir bust chances. This therefore is what I will strive to achieve in my second set of strategy testing.</t>
  </si>
  <si>
    <t>0.6451612903225801,</t>
  </si>
  <si>
    <t>Differential as a percent</t>
  </si>
  <si>
    <t>Cards flipped</t>
  </si>
  <si>
    <t>Cards Flipped</t>
  </si>
  <si>
    <t>Testing Heuristics</t>
  </si>
  <si>
    <t>Test 1</t>
  </si>
  <si>
    <t>Test 2</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</si>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</sst>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sz val="11"/>
      <color rgb="FF006100"/>
      <name val="Aptos Narrow"/>
      <family val="2"/>
      <scheme val="minor"/>
    </font>
    <font>
      <sz val="11"/>
      <color rgb="FF9C0006"/>
      <name val="Aptos Narrow"/>
      <family val="2"/>
      <scheme val="minor"/>
    </font>
    <font>
      <sz val="8"/>
      <name val="Aptos Narrow"/>
      <family val="2"/>
      <scheme val="minor"/>
    </font>
    <font>
      <sz val="10"/>
      <color theme="1"/>
      <name val="Arial Unicode MS"/>
    </font>
  </fonts>
  <fills count="4">
    <fill>
      <patternFill patternType="none"/>
    </fill>
    <fill>
      <patternFill patternType="gray125"/>
    </fill>
    <fill>
      <patternFill patternType="solid">
        <fgColor rgb="FFC6EFCE"/>
      </patternFill>
    </fill>
    <fill>
      <patternFill patternType="solid">
        <fgColor rgb="FFFFC7CE"/>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2" borderId="0" applyNumberFormat="0" applyBorder="0" applyAlignment="0" applyProtection="0"/>
    <xf numFmtId="0" fontId="2" fillId="3" borderId="0" applyNumberFormat="0" applyBorder="0" applyAlignment="0" applyProtection="0"/>
  </cellStyleXfs>
  <cellXfs count="7">
    <xf numFmtId="0" fontId="0" fillId="0" borderId="0" xfId="0"/>
    <xf numFmtId="0" fontId="0" fillId="0" borderId="1" xfId="0" applyBorder="1"/>
    <xf numFmtId="0" fontId="4" fillId="0" borderId="0" xfId="0" applyFont="1" applyAlignment="1">
      <alignment vertical="center"/>
    </xf>
    <xf numFmtId="0" fontId="2" fillId="3" borderId="0" xfId="2"/>
    <xf numFmtId="0" fontId="1" fillId="2" borderId="0" xfId="1"/>
    <xf numFmtId="11" fontId="0" fillId="0" borderId="0" xfId="0" applyNumberFormat="1"/>
    <xf numFmtId="0" fontId="0" fillId="0" borderId="0" xfId="0" applyAlignment="1">
      <alignment horizontal="center" vertical="center" wrapText="1"/>
    </xf>
  </cellXfs>
  <cellStyles count="3">
    <cellStyle name="Bad" xfId="2" builtinId="27"/>
    <cellStyle name="Good" xfId="1" builtinId="26"/>
    <cellStyle name="Normal" xfId="0" builtinId="0"/>
  </cellStyles>
  <dxfs count="2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'Master Data'!$N$19</c:f>
              <c:strCache>
                <c:ptCount val="1"/>
                <c:pt idx="0">
                  <c:v>Differential as a percent</c:v>
                </c:pt>
              </c:strCache>
            </c:strRef>
          </c:tx>
          <c:spPr>
            <a:ln w="28575" cap="rnd">
              <a:solidFill>
                <a:schemeClr val="accent1"/>
              </a:solidFill>
              <a:round/>
            </a:ln>
            <a:effectLst/>
          </c:spPr>
          <c:marker>
            <c:symbol val="none"/>
          </c:marker>
          <c:cat>
            <c:numRef>
              <c:f>'Master Data'!$O$18:$CF$18</c:f>
              <c:numCache>
                <c:formatCode>General</c:formatCode>
                <c:ptCount val="7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numCache>
            </c:numRef>
          </c:cat>
          <c:val>
            <c:numRef>
              <c:f>'Master Data'!$O$19:$CF$19</c:f>
              <c:numCache>
                <c:formatCode>General</c:formatCode>
                <c:ptCount val="70"/>
                <c:pt idx="0">
                  <c:v>-8.79120879120876E-2</c:v>
                </c:pt>
                <c:pt idx="1">
                  <c:v>-0.22222222222222099</c:v>
                </c:pt>
                <c:pt idx="2">
                  <c:v>-0.46067415730336903</c:v>
                </c:pt>
                <c:pt idx="3">
                  <c:v>0.5</c:v>
                </c:pt>
                <c:pt idx="4">
                  <c:v>-0.42528735632183801</c:v>
                </c:pt>
                <c:pt idx="5">
                  <c:v>-0.32558139534884101</c:v>
                </c:pt>
                <c:pt idx="6">
                  <c:v>0.66666666666666696</c:v>
                </c:pt>
                <c:pt idx="7">
                  <c:v>1.5180722891566201</c:v>
                </c:pt>
                <c:pt idx="8">
                  <c:v>1.17073170731707</c:v>
                </c:pt>
                <c:pt idx="9">
                  <c:v>2.9012345679012301</c:v>
                </c:pt>
                <c:pt idx="10">
                  <c:v>1.75</c:v>
                </c:pt>
                <c:pt idx="11">
                  <c:v>-0.82051282051281904</c:v>
                </c:pt>
                <c:pt idx="12">
                  <c:v>12.012987012987001</c:v>
                </c:pt>
                <c:pt idx="13">
                  <c:v>11.3157894736842</c:v>
                </c:pt>
                <c:pt idx="14">
                  <c:v>12.6666666666666</c:v>
                </c:pt>
                <c:pt idx="15">
                  <c:v>12.270270270270199</c:v>
                </c:pt>
                <c:pt idx="16">
                  <c:v>12.8630136986301</c:v>
                </c:pt>
                <c:pt idx="17">
                  <c:v>2.77464788732394</c:v>
                </c:pt>
                <c:pt idx="18">
                  <c:v>3.5714285714285698</c:v>
                </c:pt>
                <c:pt idx="19">
                  <c:v>3.3623188405797002</c:v>
                </c:pt>
                <c:pt idx="20">
                  <c:v>2.70588235294117</c:v>
                </c:pt>
                <c:pt idx="21">
                  <c:v>2.2089552238805998</c:v>
                </c:pt>
                <c:pt idx="22">
                  <c:v>0.51515151515151503</c:v>
                </c:pt>
                <c:pt idx="23">
                  <c:v>5.48484848484848</c:v>
                </c:pt>
                <c:pt idx="24">
                  <c:v>6.2307692307692299</c:v>
                </c:pt>
                <c:pt idx="25">
                  <c:v>5.5625</c:v>
                </c:pt>
                <c:pt idx="26">
                  <c:v>5.4920634920634903</c:v>
                </c:pt>
                <c:pt idx="27">
                  <c:v>1.38709677419355</c:v>
                </c:pt>
                <c:pt idx="28">
                  <c:v>-0.66666666666666596</c:v>
                </c:pt>
                <c:pt idx="29">
                  <c:v>2.7457627118643999</c:v>
                </c:pt>
                <c:pt idx="30">
                  <c:v>2.41379310344827</c:v>
                </c:pt>
                <c:pt idx="31">
                  <c:v>0.42857142857142799</c:v>
                </c:pt>
                <c:pt idx="32">
                  <c:v>0.90909090909090795</c:v>
                </c:pt>
                <c:pt idx="33">
                  <c:v>1.4814814814814801</c:v>
                </c:pt>
                <c:pt idx="34">
                  <c:v>6.2452830188679203</c:v>
                </c:pt>
                <c:pt idx="35">
                  <c:v>6.1538461538461497</c:v>
                </c:pt>
                <c:pt idx="36">
                  <c:v>-1</c:v>
                </c:pt>
                <c:pt idx="37">
                  <c:v>0.63265306122448794</c:v>
                </c:pt>
                <c:pt idx="38">
                  <c:v>-18.75</c:v>
                </c:pt>
                <c:pt idx="39">
                  <c:v>-21.276595744680801</c:v>
                </c:pt>
                <c:pt idx="40">
                  <c:v>-30.434782608695599</c:v>
                </c:pt>
                <c:pt idx="41">
                  <c:v>-33.3333333333333</c:v>
                </c:pt>
                <c:pt idx="42">
                  <c:v>7</c:v>
                </c:pt>
                <c:pt idx="43">
                  <c:v>5.71428571428571</c:v>
                </c:pt>
                <c:pt idx="44">
                  <c:v>4.1707317073170698</c:v>
                </c:pt>
                <c:pt idx="45">
                  <c:v>2.7435897435897401</c:v>
                </c:pt>
                <c:pt idx="46">
                  <c:v>1.31578947368421</c:v>
                </c:pt>
                <c:pt idx="47">
                  <c:v>0.86486486486486303</c:v>
                </c:pt>
                <c:pt idx="48">
                  <c:v>2.3333333333333202</c:v>
                </c:pt>
                <c:pt idx="49">
                  <c:v>7.1428571428571397</c:v>
                </c:pt>
                <c:pt idx="50">
                  <c:v>3</c:v>
                </c:pt>
                <c:pt idx="51">
                  <c:v>-1.375</c:v>
                </c:pt>
                <c:pt idx="52">
                  <c:v>0</c:v>
                </c:pt>
                <c:pt idx="53">
                  <c:v>1</c:v>
                </c:pt>
                <c:pt idx="54">
                  <c:v>2.6206896551724101</c:v>
                </c:pt>
                <c:pt idx="55">
                  <c:v>-1.1111111111111101</c:v>
                </c:pt>
                <c:pt idx="56">
                  <c:v>-4.2307692307692299</c:v>
                </c:pt>
                <c:pt idx="57" formatCode="0.00E+00">
                  <c:v>-3.5527136788005001E-15</c:v>
                </c:pt>
                <c:pt idx="58">
                  <c:v>0.83333333333333204</c:v>
                </c:pt>
                <c:pt idx="59">
                  <c:v>-0.78260869565217195</c:v>
                </c:pt>
                <c:pt idx="60">
                  <c:v>0.238095238095238</c:v>
                </c:pt>
                <c:pt idx="61">
                  <c:v>3</c:v>
                </c:pt>
                <c:pt idx="62">
                  <c:v>-20.105263157894701</c:v>
                </c:pt>
                <c:pt idx="63">
                  <c:v>-14.529411764705801</c:v>
                </c:pt>
                <c:pt idx="64">
                  <c:v>-4.3333333333333304</c:v>
                </c:pt>
                <c:pt idx="65">
                  <c:v>0.57142857142857295</c:v>
                </c:pt>
                <c:pt idx="66">
                  <c:v>2.9230769230769198</c:v>
                </c:pt>
                <c:pt idx="67">
                  <c:v>-3.6666666666666701</c:v>
                </c:pt>
                <c:pt idx="68">
                  <c:v>0</c:v>
                </c:pt>
                <c:pt idx="69">
                  <c:v>-0.22222222222222099</c:v>
                </c:pt>
              </c:numCache>
            </c:numRef>
          </c:val>
          <c:smooth val="0"/>
          <c:extLst>
            <c:ext xmlns:c16="http://schemas.microsoft.com/office/drawing/2014/chart" uri="{C3380CC4-5D6E-409C-BE32-E72D297353CC}">
              <c16:uniqueId val="{00000000-0FE5-4524-B9C0-3E7B5CBFE61E}"/>
            </c:ext>
          </c:extLst>
        </c:ser>
        <c:dLbls>
          <c:showLegendKey val="0"/>
          <c:showVal val="0"/>
          <c:showCatName val="0"/>
          <c:showSerName val="0"/>
          <c:showPercent val="0"/>
          <c:showBubbleSize val="0"/>
        </c:dLbls>
        <c:smooth val="0"/>
        <c:axId val="106688991"/>
        <c:axId val="140167407"/>
      </c:lineChart>
      <c:catAx>
        <c:axId val="106688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Card</a:t>
                </a:r>
                <a:r>
                  <a:rPr lang="en-GB" baseline="0"/>
                  <a:t> Flipped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67407"/>
        <c:crosses val="autoZero"/>
        <c:auto val="1"/>
        <c:lblAlgn val="ctr"/>
        <c:lblOffset val="100"/>
        <c:noMultiLvlLbl val="0"/>
      </c:catAx>
      <c:valAx>
        <c:axId val="140167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Differenial as a percent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889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'Master Data'!$L$31:$L$110</c:f>
              <c:numCache>
                <c:formatCode>General</c:formatCode>
                <c:ptCount val="80"/>
                <c:pt idx="0">
                  <c:v>1</c:v>
                </c:pt>
                <c:pt idx="1">
                  <c:v>1.88888888888888</c:v>
                </c:pt>
                <c:pt idx="2">
                  <c:v>1.7640449438202199</c:v>
                </c:pt>
                <c:pt idx="3">
                  <c:v>1.13636363636363</c:v>
                </c:pt>
                <c:pt idx="4">
                  <c:v>-1.02790697674418</c:v>
                </c:pt>
                <c:pt idx="5">
                  <c:v>-4.7058823529411598E-2</c:v>
                </c:pt>
                <c:pt idx="6">
                  <c:v>-0.78095238095238095</c:v>
                </c:pt>
                <c:pt idx="7">
                  <c:v>-1.36385542168674</c:v>
                </c:pt>
                <c:pt idx="8">
                  <c:v>-1.96097560975609</c:v>
                </c:pt>
                <c:pt idx="9">
                  <c:v>-1.05</c:v>
                </c:pt>
                <c:pt idx="10">
                  <c:v>-1.19240506329114</c:v>
                </c:pt>
                <c:pt idx="11">
                  <c:v>-0.31282051282051099</c:v>
                </c:pt>
                <c:pt idx="12">
                  <c:v>0.53684210526315801</c:v>
                </c:pt>
                <c:pt idx="13">
                  <c:v>0.8</c:v>
                </c:pt>
                <c:pt idx="14">
                  <c:v>-0.76756756756756706</c:v>
                </c:pt>
                <c:pt idx="15">
                  <c:v>-0.96712328767123101</c:v>
                </c:pt>
                <c:pt idx="16">
                  <c:v>0.63333333333333197</c:v>
                </c:pt>
                <c:pt idx="17">
                  <c:v>-2.8169014084511398E-3</c:v>
                </c:pt>
                <c:pt idx="18">
                  <c:v>-3.0927536231884001</c:v>
                </c:pt>
                <c:pt idx="19">
                  <c:v>-4.1882352941176402</c:v>
                </c:pt>
                <c:pt idx="20">
                  <c:v>-5.1515151515151496</c:v>
                </c:pt>
                <c:pt idx="21">
                  <c:v>-3.4615384615384599</c:v>
                </c:pt>
                <c:pt idx="22">
                  <c:v>-4</c:v>
                </c:pt>
                <c:pt idx="23">
                  <c:v>-2.9206349206349098</c:v>
                </c:pt>
                <c:pt idx="24">
                  <c:v>-0.318032786885246</c:v>
                </c:pt>
                <c:pt idx="25">
                  <c:v>1.2666666666666599</c:v>
                </c:pt>
                <c:pt idx="26">
                  <c:v>-1.2135593220338901</c:v>
                </c:pt>
                <c:pt idx="27">
                  <c:v>-3.50344827586206</c:v>
                </c:pt>
                <c:pt idx="28">
                  <c:v>-4.0857142857142801</c:v>
                </c:pt>
                <c:pt idx="29">
                  <c:v>-1.4592592592592499</c:v>
                </c:pt>
                <c:pt idx="30">
                  <c:v>-4.9547169811320702</c:v>
                </c:pt>
                <c:pt idx="31">
                  <c:v>-2.19999999999999</c:v>
                </c:pt>
                <c:pt idx="32">
                  <c:v>-2.5999999999999899</c:v>
                </c:pt>
                <c:pt idx="33">
                  <c:v>-4.25</c:v>
                </c:pt>
                <c:pt idx="34">
                  <c:v>0.489361702127659</c:v>
                </c:pt>
                <c:pt idx="35">
                  <c:v>-3.7391304347826</c:v>
                </c:pt>
                <c:pt idx="36">
                  <c:v>-5.55555555555555</c:v>
                </c:pt>
                <c:pt idx="37">
                  <c:v>-4.4545454545454497</c:v>
                </c:pt>
                <c:pt idx="38">
                  <c:v>-5.9238095238095196</c:v>
                </c:pt>
                <c:pt idx="39">
                  <c:v>-9.3512195121951205</c:v>
                </c:pt>
                <c:pt idx="40">
                  <c:v>-6.8999999999999897</c:v>
                </c:pt>
                <c:pt idx="41">
                  <c:v>-8.5538461538461501</c:v>
                </c:pt>
                <c:pt idx="42">
                  <c:v>-11.0315789473684</c:v>
                </c:pt>
                <c:pt idx="43">
                  <c:v>-6.8594594594594502</c:v>
                </c:pt>
                <c:pt idx="44">
                  <c:v>-6.2285714285714198</c:v>
                </c:pt>
                <c:pt idx="45">
                  <c:v>-0.65714285714285703</c:v>
                </c:pt>
                <c:pt idx="46">
                  <c:v>3.4352941176470502</c:v>
                </c:pt>
                <c:pt idx="47">
                  <c:v>11.048484848484801</c:v>
                </c:pt>
                <c:pt idx="48">
                  <c:v>9.1999999999999993</c:v>
                </c:pt>
                <c:pt idx="49">
                  <c:v>10.1677419354838</c:v>
                </c:pt>
                <c:pt idx="50">
                  <c:v>9.1999999999999993</c:v>
                </c:pt>
                <c:pt idx="51">
                  <c:v>0.65714285714285703</c:v>
                </c:pt>
                <c:pt idx="52">
                  <c:v>-0.31111111111111001</c:v>
                </c:pt>
                <c:pt idx="53">
                  <c:v>6.2615384615384597</c:v>
                </c:pt>
                <c:pt idx="54">
                  <c:v>5.8</c:v>
                </c:pt>
                <c:pt idx="55">
                  <c:v>-2.7</c:v>
                </c:pt>
                <c:pt idx="56">
                  <c:v>-8.6909090909090896</c:v>
                </c:pt>
                <c:pt idx="57">
                  <c:v>-11.409523809523799</c:v>
                </c:pt>
                <c:pt idx="58">
                  <c:v>-12.789473684210501</c:v>
                </c:pt>
                <c:pt idx="59">
                  <c:v>0.71764705882352897</c:v>
                </c:pt>
                <c:pt idx="60">
                  <c:v>-3.8</c:v>
                </c:pt>
                <c:pt idx="61">
                  <c:v>4.1999999999999904</c:v>
                </c:pt>
                <c:pt idx="62">
                  <c:v>0.507692307692306</c:v>
                </c:pt>
                <c:pt idx="63">
                  <c:v>5.86666666666666</c:v>
                </c:pt>
                <c:pt idx="64">
                  <c:v>5.0181818181818096</c:v>
                </c:pt>
                <c:pt idx="65">
                  <c:v>-4.7999999999999901</c:v>
                </c:pt>
                <c:pt idx="66">
                  <c:v>-2.2000000000000002</c:v>
                </c:pt>
                <c:pt idx="67">
                  <c:v>-4.4857142857142804</c:v>
                </c:pt>
                <c:pt idx="68">
                  <c:v>-13.533333333333299</c:v>
                </c:pt>
                <c:pt idx="69">
                  <c:v>-3.6</c:v>
                </c:pt>
                <c:pt idx="70">
                  <c:v>6.3999999999999897</c:v>
                </c:pt>
                <c:pt idx="71">
                  <c:v>7.3999999999999897</c:v>
                </c:pt>
                <c:pt idx="72">
                  <c:v>16.399999999999999</c:v>
                </c:pt>
                <c:pt idx="73">
                  <c:v>-9.9626373626373592</c:v>
                </c:pt>
                <c:pt idx="74">
                  <c:v>-7.1123595505617896</c:v>
                </c:pt>
                <c:pt idx="75">
                  <c:v>-6.7272727272727204</c:v>
                </c:pt>
                <c:pt idx="76">
                  <c:v>-7.0344827586206904</c:v>
                </c:pt>
                <c:pt idx="77">
                  <c:v>-6.53488372093023</c:v>
                </c:pt>
                <c:pt idx="78">
                  <c:v>-6.3523809523809502</c:v>
                </c:pt>
                <c:pt idx="79">
                  <c:v>5.9523809523809499</c:v>
                </c:pt>
              </c:numCache>
            </c:numRef>
          </c:val>
          <c:smooth val="0"/>
          <c:extLst>
            <c:ext xmlns:c16="http://schemas.microsoft.com/office/drawing/2014/chart" uri="{C3380CC4-5D6E-409C-BE32-E72D297353CC}">
              <c16:uniqueId val="{00000000-C0C4-4B55-8F39-AA3DEAEDF3B8}"/>
            </c:ext>
          </c:extLst>
        </c:ser>
        <c:dLbls>
          <c:showLegendKey val="0"/>
          <c:showVal val="0"/>
          <c:showCatName val="0"/>
          <c:showSerName val="0"/>
          <c:showPercent val="0"/>
          <c:showBubbleSize val="0"/>
        </c:dLbls>
        <c:smooth val="0"/>
        <c:axId val="1104472415"/>
        <c:axId val="1100285039"/>
      </c:lineChart>
      <c:catAx>
        <c:axId val="1104472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285039"/>
        <c:crosses val="autoZero"/>
        <c:auto val="1"/>
        <c:lblAlgn val="ctr"/>
        <c:lblOffset val="100"/>
        <c:noMultiLvlLbl val="0"/>
      </c:catAx>
      <c:valAx>
        <c:axId val="1100285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4724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'Master Data'!$K$31:$K$100</c:f>
              <c:numCache>
                <c:formatCode>General</c:formatCode>
                <c:ptCount val="70"/>
                <c:pt idx="0">
                  <c:v>-8.79120879120876E-2</c:v>
                </c:pt>
                <c:pt idx="1">
                  <c:v>-0.22222222222222099</c:v>
                </c:pt>
                <c:pt idx="2">
                  <c:v>-0.46067415730336903</c:v>
                </c:pt>
                <c:pt idx="3">
                  <c:v>0.5</c:v>
                </c:pt>
                <c:pt idx="4">
                  <c:v>-0.42528735632183801</c:v>
                </c:pt>
                <c:pt idx="5">
                  <c:v>-0.32558139534884101</c:v>
                </c:pt>
                <c:pt idx="6">
                  <c:v>0.66666666666666696</c:v>
                </c:pt>
                <c:pt idx="7">
                  <c:v>1.5180722891566201</c:v>
                </c:pt>
                <c:pt idx="8">
                  <c:v>1.17073170731707</c:v>
                </c:pt>
                <c:pt idx="9">
                  <c:v>2.9012345679012301</c:v>
                </c:pt>
                <c:pt idx="10">
                  <c:v>1.75</c:v>
                </c:pt>
                <c:pt idx="11">
                  <c:v>-0.82051282051281904</c:v>
                </c:pt>
                <c:pt idx="12">
                  <c:v>12.012987012987001</c:v>
                </c:pt>
                <c:pt idx="13">
                  <c:v>11.3157894736842</c:v>
                </c:pt>
                <c:pt idx="14">
                  <c:v>12.6666666666666</c:v>
                </c:pt>
                <c:pt idx="15">
                  <c:v>12.270270270270199</c:v>
                </c:pt>
                <c:pt idx="16">
                  <c:v>12.8630136986301</c:v>
                </c:pt>
                <c:pt idx="17">
                  <c:v>2.77464788732394</c:v>
                </c:pt>
                <c:pt idx="18">
                  <c:v>3.5714285714285698</c:v>
                </c:pt>
                <c:pt idx="19">
                  <c:v>3.3623188405797002</c:v>
                </c:pt>
                <c:pt idx="20">
                  <c:v>2.70588235294117</c:v>
                </c:pt>
                <c:pt idx="21">
                  <c:v>2.2089552238805998</c:v>
                </c:pt>
                <c:pt idx="22">
                  <c:v>0.51515151515151503</c:v>
                </c:pt>
                <c:pt idx="23">
                  <c:v>5.48484848484848</c:v>
                </c:pt>
                <c:pt idx="24">
                  <c:v>6.2307692307692299</c:v>
                </c:pt>
                <c:pt idx="25">
                  <c:v>5.5625</c:v>
                </c:pt>
                <c:pt idx="26">
                  <c:v>5.4920634920634903</c:v>
                </c:pt>
                <c:pt idx="27">
                  <c:v>1.38709677419355</c:v>
                </c:pt>
                <c:pt idx="28">
                  <c:v>-0.66666666666666596</c:v>
                </c:pt>
                <c:pt idx="29">
                  <c:v>2.7457627118643999</c:v>
                </c:pt>
                <c:pt idx="30">
                  <c:v>2.41379310344827</c:v>
                </c:pt>
                <c:pt idx="31">
                  <c:v>0.42857142857142799</c:v>
                </c:pt>
                <c:pt idx="32">
                  <c:v>0.90909090909090795</c:v>
                </c:pt>
                <c:pt idx="33">
                  <c:v>1.4814814814814801</c:v>
                </c:pt>
                <c:pt idx="34">
                  <c:v>6.2452830188679203</c:v>
                </c:pt>
                <c:pt idx="35">
                  <c:v>6.1538461538461497</c:v>
                </c:pt>
                <c:pt idx="36">
                  <c:v>-1</c:v>
                </c:pt>
                <c:pt idx="37">
                  <c:v>0.63265306122448794</c:v>
                </c:pt>
                <c:pt idx="38">
                  <c:v>-18.75</c:v>
                </c:pt>
                <c:pt idx="39">
                  <c:v>-21.276595744680801</c:v>
                </c:pt>
                <c:pt idx="40">
                  <c:v>-30.434782608695599</c:v>
                </c:pt>
                <c:pt idx="41">
                  <c:v>-33.3333333333333</c:v>
                </c:pt>
                <c:pt idx="42">
                  <c:v>7</c:v>
                </c:pt>
                <c:pt idx="43">
                  <c:v>5.71428571428571</c:v>
                </c:pt>
                <c:pt idx="44">
                  <c:v>4.1707317073170698</c:v>
                </c:pt>
                <c:pt idx="45">
                  <c:v>2.7435897435897401</c:v>
                </c:pt>
                <c:pt idx="46">
                  <c:v>1.31578947368421</c:v>
                </c:pt>
                <c:pt idx="47">
                  <c:v>0.86486486486486303</c:v>
                </c:pt>
                <c:pt idx="48">
                  <c:v>2.3333333333333202</c:v>
                </c:pt>
                <c:pt idx="49">
                  <c:v>7.1428571428571397</c:v>
                </c:pt>
                <c:pt idx="50">
                  <c:v>3</c:v>
                </c:pt>
                <c:pt idx="51">
                  <c:v>-1.375</c:v>
                </c:pt>
                <c:pt idx="52">
                  <c:v>0</c:v>
                </c:pt>
                <c:pt idx="53">
                  <c:v>1</c:v>
                </c:pt>
                <c:pt idx="54">
                  <c:v>2.6206896551724101</c:v>
                </c:pt>
                <c:pt idx="55">
                  <c:v>-1.1111111111111101</c:v>
                </c:pt>
                <c:pt idx="56">
                  <c:v>-4.2307692307692299</c:v>
                </c:pt>
                <c:pt idx="57" formatCode="0.00E+00">
                  <c:v>-3.5527136788005001E-15</c:v>
                </c:pt>
                <c:pt idx="58">
                  <c:v>0.83333333333333204</c:v>
                </c:pt>
                <c:pt idx="59">
                  <c:v>-0.78260869565217195</c:v>
                </c:pt>
                <c:pt idx="60">
                  <c:v>0.238095238095238</c:v>
                </c:pt>
                <c:pt idx="61">
                  <c:v>3</c:v>
                </c:pt>
                <c:pt idx="62">
                  <c:v>-20.105263157894701</c:v>
                </c:pt>
                <c:pt idx="63">
                  <c:v>-14.529411764705801</c:v>
                </c:pt>
                <c:pt idx="64">
                  <c:v>-4.3333333333333304</c:v>
                </c:pt>
                <c:pt idx="65">
                  <c:v>0.57142857142857295</c:v>
                </c:pt>
                <c:pt idx="66">
                  <c:v>2.9230769230769198</c:v>
                </c:pt>
                <c:pt idx="67">
                  <c:v>-3.6666666666666701</c:v>
                </c:pt>
                <c:pt idx="68">
                  <c:v>0</c:v>
                </c:pt>
                <c:pt idx="69">
                  <c:v>-0.22222222222222099</c:v>
                </c:pt>
              </c:numCache>
            </c:numRef>
          </c:val>
          <c:smooth val="0"/>
          <c:extLst>
            <c:ext xmlns:c16="http://schemas.microsoft.com/office/drawing/2014/chart" uri="{C3380CC4-5D6E-409C-BE32-E72D297353CC}">
              <c16:uniqueId val="{00000000-A242-48B6-A63E-ADCA993BAC6B}"/>
            </c:ext>
          </c:extLst>
        </c:ser>
        <c:ser>
          <c:idx val="1"/>
          <c:order val="1"/>
          <c:spPr>
            <a:ln w="28575" cap="rnd">
              <a:solidFill>
                <a:schemeClr val="accent2"/>
              </a:solidFill>
              <a:round/>
            </a:ln>
            <a:effectLst/>
          </c:spPr>
          <c:marker>
            <c:symbol val="none"/>
          </c:marker>
          <c:val>
            <c:numRef>
              <c:f>'Master Data'!$L$31:$L$100</c:f>
              <c:numCache>
                <c:formatCode>General</c:formatCode>
                <c:ptCount val="70"/>
                <c:pt idx="0">
                  <c:v>1</c:v>
                </c:pt>
                <c:pt idx="1">
                  <c:v>1.88888888888888</c:v>
                </c:pt>
                <c:pt idx="2">
                  <c:v>1.7640449438202199</c:v>
                </c:pt>
                <c:pt idx="3">
                  <c:v>1.13636363636363</c:v>
                </c:pt>
                <c:pt idx="4">
                  <c:v>-1.02790697674418</c:v>
                </c:pt>
                <c:pt idx="5">
                  <c:v>-4.7058823529411598E-2</c:v>
                </c:pt>
                <c:pt idx="6">
                  <c:v>-0.78095238095238095</c:v>
                </c:pt>
                <c:pt idx="7">
                  <c:v>-1.36385542168674</c:v>
                </c:pt>
                <c:pt idx="8">
                  <c:v>-1.96097560975609</c:v>
                </c:pt>
                <c:pt idx="9">
                  <c:v>-1.05</c:v>
                </c:pt>
                <c:pt idx="10">
                  <c:v>-1.19240506329114</c:v>
                </c:pt>
                <c:pt idx="11">
                  <c:v>-0.31282051282051099</c:v>
                </c:pt>
                <c:pt idx="12">
                  <c:v>0.53684210526315801</c:v>
                </c:pt>
                <c:pt idx="13">
                  <c:v>0.8</c:v>
                </c:pt>
                <c:pt idx="14">
                  <c:v>-0.76756756756756706</c:v>
                </c:pt>
                <c:pt idx="15">
                  <c:v>-0.96712328767123101</c:v>
                </c:pt>
                <c:pt idx="16">
                  <c:v>0.63333333333333197</c:v>
                </c:pt>
                <c:pt idx="17">
                  <c:v>-2.8169014084511398E-3</c:v>
                </c:pt>
                <c:pt idx="18">
                  <c:v>-3.0927536231884001</c:v>
                </c:pt>
                <c:pt idx="19">
                  <c:v>-4.1882352941176402</c:v>
                </c:pt>
                <c:pt idx="20">
                  <c:v>-5.1515151515151496</c:v>
                </c:pt>
                <c:pt idx="21">
                  <c:v>-3.4615384615384599</c:v>
                </c:pt>
                <c:pt idx="22">
                  <c:v>-4</c:v>
                </c:pt>
                <c:pt idx="23">
                  <c:v>-2.9206349206349098</c:v>
                </c:pt>
                <c:pt idx="24">
                  <c:v>-0.318032786885246</c:v>
                </c:pt>
                <c:pt idx="25">
                  <c:v>1.2666666666666599</c:v>
                </c:pt>
                <c:pt idx="26">
                  <c:v>-1.2135593220338901</c:v>
                </c:pt>
                <c:pt idx="27">
                  <c:v>-3.50344827586206</c:v>
                </c:pt>
                <c:pt idx="28">
                  <c:v>-4.0857142857142801</c:v>
                </c:pt>
                <c:pt idx="29">
                  <c:v>-1.4592592592592499</c:v>
                </c:pt>
                <c:pt idx="30">
                  <c:v>-4.9547169811320702</c:v>
                </c:pt>
                <c:pt idx="31">
                  <c:v>-2.19999999999999</c:v>
                </c:pt>
                <c:pt idx="32">
                  <c:v>-2.5999999999999899</c:v>
                </c:pt>
                <c:pt idx="33">
                  <c:v>-4.25</c:v>
                </c:pt>
                <c:pt idx="34">
                  <c:v>0.489361702127659</c:v>
                </c:pt>
                <c:pt idx="35">
                  <c:v>-3.7391304347826</c:v>
                </c:pt>
                <c:pt idx="36">
                  <c:v>-5.55555555555555</c:v>
                </c:pt>
                <c:pt idx="37">
                  <c:v>-4.4545454545454497</c:v>
                </c:pt>
                <c:pt idx="38">
                  <c:v>-5.9238095238095196</c:v>
                </c:pt>
                <c:pt idx="39">
                  <c:v>-9.3512195121951205</c:v>
                </c:pt>
                <c:pt idx="40">
                  <c:v>-6.8999999999999897</c:v>
                </c:pt>
                <c:pt idx="41">
                  <c:v>-8.5538461538461501</c:v>
                </c:pt>
                <c:pt idx="42">
                  <c:v>-11.0315789473684</c:v>
                </c:pt>
                <c:pt idx="43">
                  <c:v>-6.8594594594594502</c:v>
                </c:pt>
                <c:pt idx="44">
                  <c:v>-6.2285714285714198</c:v>
                </c:pt>
                <c:pt idx="45">
                  <c:v>-0.65714285714285703</c:v>
                </c:pt>
                <c:pt idx="46">
                  <c:v>3.4352941176470502</c:v>
                </c:pt>
                <c:pt idx="47">
                  <c:v>11.048484848484801</c:v>
                </c:pt>
                <c:pt idx="48">
                  <c:v>9.1999999999999993</c:v>
                </c:pt>
                <c:pt idx="49">
                  <c:v>10.1677419354838</c:v>
                </c:pt>
                <c:pt idx="50">
                  <c:v>9.1999999999999993</c:v>
                </c:pt>
                <c:pt idx="51">
                  <c:v>0.65714285714285703</c:v>
                </c:pt>
                <c:pt idx="52">
                  <c:v>-0.31111111111111001</c:v>
                </c:pt>
                <c:pt idx="53">
                  <c:v>6.2615384615384597</c:v>
                </c:pt>
                <c:pt idx="54">
                  <c:v>5.8</c:v>
                </c:pt>
                <c:pt idx="55">
                  <c:v>-2.7</c:v>
                </c:pt>
                <c:pt idx="56">
                  <c:v>-8.6909090909090896</c:v>
                </c:pt>
                <c:pt idx="57">
                  <c:v>-11.409523809523799</c:v>
                </c:pt>
                <c:pt idx="58">
                  <c:v>-12.789473684210501</c:v>
                </c:pt>
                <c:pt idx="59">
                  <c:v>0.71764705882352897</c:v>
                </c:pt>
                <c:pt idx="60">
                  <c:v>-3.8</c:v>
                </c:pt>
                <c:pt idx="61">
                  <c:v>4.1999999999999904</c:v>
                </c:pt>
                <c:pt idx="62">
                  <c:v>0.507692307692306</c:v>
                </c:pt>
                <c:pt idx="63">
                  <c:v>5.86666666666666</c:v>
                </c:pt>
                <c:pt idx="64">
                  <c:v>5.0181818181818096</c:v>
                </c:pt>
                <c:pt idx="65">
                  <c:v>-4.7999999999999901</c:v>
                </c:pt>
                <c:pt idx="66">
                  <c:v>-2.2000000000000002</c:v>
                </c:pt>
                <c:pt idx="67">
                  <c:v>-4.4857142857142804</c:v>
                </c:pt>
                <c:pt idx="68">
                  <c:v>-13.533333333333299</c:v>
                </c:pt>
                <c:pt idx="69">
                  <c:v>-3.6</c:v>
                </c:pt>
              </c:numCache>
            </c:numRef>
          </c:val>
          <c:smooth val="0"/>
          <c:extLst>
            <c:ext xmlns:c16="http://schemas.microsoft.com/office/drawing/2014/chart" uri="{C3380CC4-5D6E-409C-BE32-E72D297353CC}">
              <c16:uniqueId val="{00000001-A242-48B6-A63E-ADCA993BAC6B}"/>
            </c:ext>
          </c:extLst>
        </c:ser>
        <c:dLbls>
          <c:showLegendKey val="0"/>
          <c:showVal val="0"/>
          <c:showCatName val="0"/>
          <c:showSerName val="0"/>
          <c:showPercent val="0"/>
          <c:showBubbleSize val="0"/>
        </c:dLbls>
        <c:smooth val="0"/>
        <c:axId val="2047641039"/>
        <c:axId val="1100252399"/>
      </c:lineChart>
      <c:catAx>
        <c:axId val="204764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252399"/>
        <c:crosses val="autoZero"/>
        <c:auto val="1"/>
        <c:lblAlgn val="ctr"/>
        <c:lblOffset val="100"/>
        <c:noMultiLvlLbl val="0"/>
      </c:catAx>
      <c:valAx>
        <c:axId val="1100252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6410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43</xdr:col>
      <xdr:colOff>487455</xdr:colOff>
      <xdr:row>24</xdr:row>
      <xdr:rowOff>149864</xdr:rowOff>
    </xdr:from>
    <xdr:to>
      <xdr:col>71</xdr:col>
      <xdr:colOff>69371</xdr:colOff>
      <xdr:row>51</xdr:row>
      <xdr:rowOff>144075</xdr:rowOff>
    </xdr:to>
    <xdr:graphicFrame macro="">
      <xdr:nvGraphicFramePr>
        <xdr:cNvPr id="4" name="Chart 3">
          <a:extLst>
            <a:ext uri="{FF2B5EF4-FFF2-40B4-BE49-F238E27FC236}">
              <a16:creationId xmlns:a16="http://schemas.microsoft.com/office/drawing/2014/main" id="{AD5B72C6-0646-7192-0451-B910F8FD88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43</xdr:col>
      <xdr:colOff>494795</xdr:colOff>
      <xdr:row>53</xdr:row>
      <xdr:rowOff>75466</xdr:rowOff>
    </xdr:from>
    <xdr:to>
      <xdr:col>71</xdr:col>
      <xdr:colOff>106469</xdr:colOff>
      <xdr:row>80</xdr:row>
      <xdr:rowOff>18316</xdr:rowOff>
    </xdr:to>
    <xdr:graphicFrame macro="">
      <xdr:nvGraphicFramePr>
        <xdr:cNvPr id="2" name="Chart 1">
          <a:extLst>
            <a:ext uri="{FF2B5EF4-FFF2-40B4-BE49-F238E27FC236}">
              <a16:creationId xmlns:a16="http://schemas.microsoft.com/office/drawing/2014/main" id="{6EA562A4-6E38-B42B-96CA-6F587266E9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333796</xdr:colOff>
      <xdr:row>81</xdr:row>
      <xdr:rowOff>65923</xdr:rowOff>
    </xdr:from>
    <xdr:to>
      <xdr:col>52</xdr:col>
      <xdr:colOff>476673</xdr:colOff>
      <xdr:row>105</xdr:row>
      <xdr:rowOff>45216</xdr:rowOff>
    </xdr:to>
    <xdr:graphicFrame macro="">
      <xdr:nvGraphicFramePr>
        <xdr:cNvPr id="5" name="Chart 4">
          <a:extLst>
            <a:ext uri="{FF2B5EF4-FFF2-40B4-BE49-F238E27FC236}">
              <a16:creationId xmlns:a16="http://schemas.microsoft.com/office/drawing/2014/main" id="{D51CC805-8A36-3C4F-3F65-51337E6002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61DB0-E066-4D80-9F31-EE0FB08E8CE2}">
  <dimension ref="C2:CS110"/>
  <sheetViews>
    <sheetView tabSelected="1" topLeftCell="H1" zoomScale="66" zoomScaleNormal="46" workbookViewId="0">
      <selection activeCell="K29" sqref="K29"/>
    </sheetView>
  </sheetViews>
  <sheetFormatPr defaultRowHeight="15"/>
  <cols>
    <col min="3" max="3" width="28.28515625" bestFit="1" customWidth="1"/>
    <col min="4" max="4" width="20.85546875" bestFit="1" customWidth="1"/>
    <col min="5" max="5" width="19.5703125" bestFit="1" customWidth="1"/>
    <col min="6" max="6" width="25.28515625" bestFit="1" customWidth="1"/>
    <col min="7" max="7" width="14.28515625" bestFit="1" customWidth="1"/>
    <col min="8" max="8" width="23.28515625" bestFit="1" customWidth="1"/>
    <col min="9" max="9" width="18" bestFit="1" customWidth="1"/>
    <col min="10" max="11" width="20.7109375" bestFit="1" customWidth="1"/>
    <col min="12" max="12" width="28.28515625" bestFit="1" customWidth="1"/>
  </cols>
  <sheetData>
    <row r="2" spans="3:8">
      <c r="C2" t="s">
        <v>0</v>
      </c>
    </row>
    <row r="3" spans="3:8">
      <c r="C3" t="s">
        <v>91</v>
      </c>
    </row>
    <row r="5" spans="3:8">
      <c r="D5" t="s">
        <v>10</v>
      </c>
      <c r="E5" t="s">
        <v>79</v>
      </c>
      <c r="F5" t="s">
        <v>78</v>
      </c>
      <c r="G5" t="s">
        <v>77</v>
      </c>
      <c r="H5" t="s">
        <v>53</v>
      </c>
    </row>
    <row r="6" spans="3:8">
      <c r="C6" t="s">
        <v>1</v>
      </c>
      <c r="D6" s="2">
        <f>'Human No Prob'!T13</f>
        <v>9.5</v>
      </c>
      <c r="E6" s="2">
        <f>'Human No Prob'!U13</f>
        <v>4</v>
      </c>
      <c r="F6" s="2">
        <f>'Human No Prob'!V13</f>
        <v>5.5</v>
      </c>
      <c r="G6" s="2">
        <f>'Human No Prob'!W13</f>
        <v>37.773333333333333</v>
      </c>
      <c r="H6" s="4"/>
    </row>
    <row r="7" spans="3:8">
      <c r="C7" t="s">
        <v>2</v>
      </c>
      <c r="D7" s="2">
        <f>'Human Prob'!T13</f>
        <v>9.3000000000000007</v>
      </c>
      <c r="E7" s="2">
        <f>'Human Prob'!U13</f>
        <v>3.2</v>
      </c>
      <c r="F7" s="2">
        <f>'Human Prob'!V13</f>
        <v>6.1</v>
      </c>
      <c r="G7" s="2">
        <f>'Human Prob'!W13</f>
        <v>34.860952380952384</v>
      </c>
      <c r="H7" s="4"/>
    </row>
    <row r="8" spans="3:8">
      <c r="C8" t="s">
        <v>5</v>
      </c>
      <c r="D8" s="2">
        <f>'2 Card Bank'!Y13</f>
        <v>13.1</v>
      </c>
      <c r="E8" s="2">
        <f>'2 Card Bank'!Z13</f>
        <v>1.6</v>
      </c>
      <c r="F8" s="2">
        <f>'2 Card Bank'!AA13</f>
        <v>11.5</v>
      </c>
      <c r="G8" s="2">
        <f>'2 Card Bank'!AB13</f>
        <v>18.125670995670994</v>
      </c>
      <c r="H8" s="4"/>
    </row>
    <row r="9" spans="3:8">
      <c r="C9" t="s">
        <v>3</v>
      </c>
      <c r="D9" s="2">
        <f>'3 Card Bank'!T13</f>
        <v>10.9</v>
      </c>
      <c r="E9" s="2">
        <f>'3 Card Bank'!U13</f>
        <v>2.7</v>
      </c>
      <c r="F9" s="2">
        <f>'3 Card Bank'!V13</f>
        <v>8.1999999999999993</v>
      </c>
      <c r="G9" s="2">
        <f>'3 Card Bank'!W13</f>
        <v>26.262896825396819</v>
      </c>
      <c r="H9" s="4"/>
    </row>
    <row r="10" spans="3:8">
      <c r="C10" t="s">
        <v>4</v>
      </c>
      <c r="D10" s="2">
        <f>'4 Card Bank'!Y13</f>
        <v>11.6</v>
      </c>
      <c r="E10" s="2">
        <f>'4 Card Bank'!Z13</f>
        <v>5.3</v>
      </c>
      <c r="F10" s="2">
        <f>'4 Card Bank'!AA13</f>
        <v>6.3</v>
      </c>
      <c r="G10" s="2">
        <f>'4 Card Bank'!AB13</f>
        <v>33.85</v>
      </c>
      <c r="H10" s="4"/>
    </row>
    <row r="11" spans="3:8">
      <c r="C11" t="s">
        <v>16</v>
      </c>
      <c r="D11" s="2">
        <f>'Flip7 or Bust'!T13</f>
        <v>0</v>
      </c>
      <c r="E11" s="2">
        <f>'Flip7 or Bust'!U13</f>
        <v>0</v>
      </c>
      <c r="F11" s="2">
        <f>'Flip7 or Bust'!V13</f>
        <v>0</v>
      </c>
      <c r="G11" s="2" t="e">
        <f>'Flip7 or Bust'!W13</f>
        <v>#DIV/0!</v>
      </c>
      <c r="H11" s="3"/>
    </row>
    <row r="12" spans="3:8">
      <c r="C12" t="s">
        <v>43</v>
      </c>
      <c r="D12" s="2">
        <f>'Score 20 Bank'!T13</f>
        <v>10.6</v>
      </c>
      <c r="E12" s="2">
        <f>'Score 20 Bank'!U13</f>
        <v>1.7</v>
      </c>
      <c r="F12" s="2">
        <f>'Score 20 Bank'!V13</f>
        <v>8.9</v>
      </c>
      <c r="G12" s="2">
        <f>'Score 20 Bank'!W13</f>
        <v>24.037500000000001</v>
      </c>
      <c r="H12" s="4"/>
    </row>
    <row r="13" spans="3:8">
      <c r="C13" t="s">
        <v>44</v>
      </c>
      <c r="D13" s="2">
        <f>'Score 25 Bank'!T13</f>
        <v>10.6</v>
      </c>
      <c r="E13" s="2">
        <f>'Score 25 Bank'!U13</f>
        <v>3.5</v>
      </c>
      <c r="F13" s="2">
        <f>'Score 25 Bank'!V13</f>
        <v>7.1</v>
      </c>
      <c r="G13" s="2">
        <f>'Score 25 Bank'!W13</f>
        <v>29.678571428571434</v>
      </c>
      <c r="H13" s="4"/>
    </row>
    <row r="14" spans="3:8">
      <c r="C14" t="s">
        <v>45</v>
      </c>
      <c r="D14" s="2">
        <f>'Score 30 Bank'!T13</f>
        <v>9.3000000000000007</v>
      </c>
      <c r="E14" s="2">
        <f>'Score 30 Bank'!U13</f>
        <v>2.9</v>
      </c>
      <c r="F14" s="2">
        <f>'Score 30 Bank'!V13</f>
        <v>6.4</v>
      </c>
      <c r="G14" s="2">
        <f>'Score 30 Bank'!W13</f>
        <v>34.114285714285714</v>
      </c>
      <c r="H14" s="4"/>
    </row>
    <row r="15" spans="3:8">
      <c r="C15" t="s">
        <v>46</v>
      </c>
      <c r="D15" s="2">
        <f>'Score 35 Bank'!Y13</f>
        <v>11.7</v>
      </c>
      <c r="E15" s="2">
        <f>'Score 35 Bank'!Z13</f>
        <v>6.3</v>
      </c>
      <c r="F15" s="2">
        <f>'Score 35 Bank'!AA13</f>
        <v>5.4</v>
      </c>
      <c r="G15" s="2">
        <f>'Score 35 Bank'!AB13</f>
        <v>40.326666666666668</v>
      </c>
      <c r="H15" s="4"/>
    </row>
    <row r="16" spans="3:8">
      <c r="C16" t="s">
        <v>47</v>
      </c>
      <c r="D16" s="2">
        <f>'Score 40 Bank'!AI13</f>
        <v>12.4</v>
      </c>
      <c r="E16" s="2">
        <f>'Score 40 Bank'!AJ13</f>
        <v>7.4</v>
      </c>
      <c r="F16" s="2">
        <f>'Score 40 Bank'!AK13</f>
        <v>5</v>
      </c>
      <c r="G16" s="2">
        <f>'Score 40 Bank'!AL13</f>
        <v>44.36</v>
      </c>
      <c r="H16" s="4"/>
    </row>
    <row r="17" spans="3:97">
      <c r="C17" t="s">
        <v>7</v>
      </c>
      <c r="D17" s="2">
        <f>'Cumulative Odds 70%'!Y13</f>
        <v>11</v>
      </c>
      <c r="E17" s="2">
        <f>'Cumulative Odds 70%'!Z13</f>
        <v>2.7</v>
      </c>
      <c r="F17" s="2">
        <f>'Cumulative Odds 70%'!AA13</f>
        <v>8.3000000000000007</v>
      </c>
      <c r="G17" s="2">
        <f>'Cumulative Odds 70%'!AB13</f>
        <v>25.304166666666667</v>
      </c>
      <c r="H17" s="4"/>
    </row>
    <row r="18" spans="3:97">
      <c r="C18" t="s">
        <v>6</v>
      </c>
      <c r="D18" s="2">
        <f>'Cumulative Odds 60%'!T13</f>
        <v>10.9</v>
      </c>
      <c r="E18" s="2">
        <f>'Cumulative Odds 60%'!U13</f>
        <v>3.9</v>
      </c>
      <c r="F18" s="2">
        <f>'Cumulative Odds 60%'!V13</f>
        <v>7</v>
      </c>
      <c r="G18" s="2">
        <f>'Cumulative Odds 60%'!W13</f>
        <v>30.782738095238095</v>
      </c>
      <c r="H18" s="4"/>
      <c r="N18" t="s">
        <v>96</v>
      </c>
      <c r="O18">
        <v>1</v>
      </c>
      <c r="P18">
        <v>2</v>
      </c>
      <c r="Q18">
        <v>3</v>
      </c>
      <c r="R18">
        <v>4</v>
      </c>
      <c r="S18">
        <v>5</v>
      </c>
      <c r="T18">
        <v>6</v>
      </c>
      <c r="U18">
        <v>7</v>
      </c>
      <c r="V18">
        <v>8</v>
      </c>
      <c r="W18">
        <v>9</v>
      </c>
      <c r="X18">
        <v>10</v>
      </c>
      <c r="Y18">
        <v>11</v>
      </c>
      <c r="Z18">
        <v>12</v>
      </c>
      <c r="AA18">
        <v>13</v>
      </c>
      <c r="AB18">
        <v>14</v>
      </c>
      <c r="AC18">
        <v>15</v>
      </c>
      <c r="AD18">
        <v>16</v>
      </c>
      <c r="AE18">
        <v>17</v>
      </c>
      <c r="AF18">
        <v>18</v>
      </c>
      <c r="AG18">
        <v>19</v>
      </c>
      <c r="AH18">
        <v>20</v>
      </c>
      <c r="AI18">
        <v>21</v>
      </c>
      <c r="AJ18">
        <v>22</v>
      </c>
      <c r="AK18">
        <v>23</v>
      </c>
      <c r="AL18">
        <v>24</v>
      </c>
      <c r="AM18">
        <v>25</v>
      </c>
      <c r="AN18">
        <v>26</v>
      </c>
      <c r="AO18">
        <v>27</v>
      </c>
      <c r="AP18">
        <v>28</v>
      </c>
      <c r="AQ18">
        <v>29</v>
      </c>
      <c r="AR18">
        <v>30</v>
      </c>
      <c r="AS18">
        <v>31</v>
      </c>
      <c r="AT18">
        <v>32</v>
      </c>
      <c r="AU18">
        <v>33</v>
      </c>
      <c r="AV18">
        <v>34</v>
      </c>
      <c r="AW18">
        <v>35</v>
      </c>
      <c r="AX18">
        <v>36</v>
      </c>
      <c r="AY18">
        <v>37</v>
      </c>
      <c r="AZ18">
        <v>38</v>
      </c>
      <c r="BA18">
        <v>39</v>
      </c>
      <c r="BB18">
        <v>40</v>
      </c>
      <c r="BC18">
        <v>41</v>
      </c>
      <c r="BD18">
        <v>42</v>
      </c>
      <c r="BE18">
        <v>43</v>
      </c>
      <c r="BF18">
        <v>44</v>
      </c>
      <c r="BG18">
        <v>45</v>
      </c>
      <c r="BH18">
        <v>46</v>
      </c>
      <c r="BI18">
        <v>47</v>
      </c>
      <c r="BJ18">
        <v>48</v>
      </c>
      <c r="BK18">
        <v>49</v>
      </c>
      <c r="BL18">
        <v>50</v>
      </c>
      <c r="BM18">
        <v>51</v>
      </c>
      <c r="BN18">
        <v>52</v>
      </c>
      <c r="BO18">
        <v>53</v>
      </c>
      <c r="BP18">
        <v>54</v>
      </c>
      <c r="BQ18">
        <v>55</v>
      </c>
      <c r="BR18">
        <v>56</v>
      </c>
      <c r="BS18">
        <v>57</v>
      </c>
      <c r="BT18">
        <v>58</v>
      </c>
      <c r="BU18">
        <v>59</v>
      </c>
      <c r="BV18">
        <v>60</v>
      </c>
      <c r="BW18">
        <v>61</v>
      </c>
      <c r="BX18">
        <v>62</v>
      </c>
      <c r="BY18">
        <v>63</v>
      </c>
      <c r="BZ18">
        <v>64</v>
      </c>
      <c r="CA18">
        <v>65</v>
      </c>
      <c r="CB18">
        <v>66</v>
      </c>
      <c r="CC18">
        <v>67</v>
      </c>
      <c r="CD18">
        <v>68</v>
      </c>
      <c r="CE18">
        <v>69</v>
      </c>
      <c r="CF18">
        <v>70</v>
      </c>
      <c r="CG18">
        <v>71</v>
      </c>
      <c r="CH18">
        <v>72</v>
      </c>
      <c r="CI18">
        <v>73</v>
      </c>
      <c r="CJ18">
        <v>74</v>
      </c>
      <c r="CK18">
        <v>75</v>
      </c>
      <c r="CL18">
        <v>76</v>
      </c>
      <c r="CM18">
        <v>77</v>
      </c>
      <c r="CN18">
        <v>78</v>
      </c>
      <c r="CO18">
        <v>79</v>
      </c>
      <c r="CP18">
        <v>80</v>
      </c>
      <c r="CQ18">
        <v>81</v>
      </c>
      <c r="CR18">
        <v>82</v>
      </c>
      <c r="CS18">
        <v>83</v>
      </c>
    </row>
    <row r="19" spans="3:97">
      <c r="C19" t="s">
        <v>8</v>
      </c>
      <c r="D19" s="2">
        <f>'Cumulative Odds 50%'!Y13</f>
        <v>11.3</v>
      </c>
      <c r="E19" s="2">
        <f>'Cumulative Odds 50%'!Z13</f>
        <v>5.0999999999999996</v>
      </c>
      <c r="F19" s="2">
        <f>'Cumulative Odds 50%'!AA13</f>
        <v>6.2</v>
      </c>
      <c r="G19" s="2">
        <f>'Cumulative Odds 50%'!AB13</f>
        <v>35.230952380952388</v>
      </c>
      <c r="H19" s="4"/>
      <c r="N19" t="s">
        <v>95</v>
      </c>
      <c r="O19">
        <v>-8.79120879120876E-2</v>
      </c>
      <c r="P19">
        <v>-0.22222222222222099</v>
      </c>
      <c r="Q19">
        <v>-0.46067415730336903</v>
      </c>
      <c r="R19">
        <v>0.5</v>
      </c>
      <c r="S19">
        <v>-0.42528735632183801</v>
      </c>
      <c r="T19">
        <v>-0.32558139534884101</v>
      </c>
      <c r="U19">
        <v>0.66666666666666696</v>
      </c>
      <c r="V19">
        <v>1.5180722891566201</v>
      </c>
      <c r="W19">
        <v>1.17073170731707</v>
      </c>
      <c r="X19">
        <v>2.9012345679012301</v>
      </c>
      <c r="Y19">
        <v>1.75</v>
      </c>
      <c r="Z19">
        <v>-0.82051282051281904</v>
      </c>
      <c r="AA19">
        <v>12.012987012987001</v>
      </c>
      <c r="AB19">
        <v>11.3157894736842</v>
      </c>
      <c r="AC19">
        <v>12.6666666666666</v>
      </c>
      <c r="AD19">
        <v>12.270270270270199</v>
      </c>
      <c r="AE19">
        <v>12.8630136986301</v>
      </c>
      <c r="AF19">
        <v>2.77464788732394</v>
      </c>
      <c r="AG19">
        <v>3.5714285714285698</v>
      </c>
      <c r="AH19">
        <v>3.3623188405797002</v>
      </c>
      <c r="AI19">
        <v>2.70588235294117</v>
      </c>
      <c r="AJ19">
        <v>2.2089552238805998</v>
      </c>
      <c r="AK19">
        <v>0.51515151515151503</v>
      </c>
      <c r="AL19">
        <v>5.48484848484848</v>
      </c>
      <c r="AM19">
        <v>6.2307692307692299</v>
      </c>
      <c r="AN19">
        <v>5.5625</v>
      </c>
      <c r="AO19">
        <v>5.4920634920634903</v>
      </c>
      <c r="AP19">
        <v>1.38709677419355</v>
      </c>
      <c r="AQ19">
        <v>-0.66666666666666596</v>
      </c>
      <c r="AR19">
        <v>2.7457627118643999</v>
      </c>
      <c r="AS19">
        <v>2.41379310344827</v>
      </c>
      <c r="AT19">
        <v>0.42857142857142799</v>
      </c>
      <c r="AU19">
        <v>0.90909090909090795</v>
      </c>
      <c r="AV19">
        <v>1.4814814814814801</v>
      </c>
      <c r="AW19">
        <v>6.2452830188679203</v>
      </c>
      <c r="AX19">
        <v>6.1538461538461497</v>
      </c>
      <c r="AY19">
        <v>-1</v>
      </c>
      <c r="AZ19">
        <v>0.63265306122448794</v>
      </c>
      <c r="BA19">
        <v>-18.75</v>
      </c>
      <c r="BB19">
        <v>-21.276595744680801</v>
      </c>
      <c r="BC19">
        <v>-30.434782608695599</v>
      </c>
      <c r="BD19">
        <v>-33.3333333333333</v>
      </c>
      <c r="BE19">
        <v>7</v>
      </c>
      <c r="BF19">
        <v>5.71428571428571</v>
      </c>
      <c r="BG19">
        <v>4.1707317073170698</v>
      </c>
      <c r="BH19">
        <v>2.7435897435897401</v>
      </c>
      <c r="BI19">
        <v>1.31578947368421</v>
      </c>
      <c r="BJ19">
        <v>0.86486486486486303</v>
      </c>
      <c r="BK19">
        <v>2.3333333333333202</v>
      </c>
      <c r="BL19">
        <v>7.1428571428571397</v>
      </c>
      <c r="BM19">
        <v>3</v>
      </c>
      <c r="BN19">
        <v>-1.375</v>
      </c>
      <c r="BO19" t="s">
        <v>94</v>
      </c>
      <c r="BP19">
        <v>1</v>
      </c>
      <c r="BQ19">
        <v>2.6206896551724101</v>
      </c>
      <c r="BR19">
        <v>-1.1111111111111101</v>
      </c>
      <c r="BS19">
        <v>-4.2307692307692299</v>
      </c>
      <c r="BT19" s="5">
        <v>-3.5527136788005001E-15</v>
      </c>
      <c r="BU19">
        <v>0.83333333333333204</v>
      </c>
      <c r="BV19">
        <v>-0.78260869565217195</v>
      </c>
      <c r="BW19">
        <v>0.238095238095238</v>
      </c>
      <c r="BX19">
        <v>3</v>
      </c>
      <c r="BY19">
        <v>-20.105263157894701</v>
      </c>
      <c r="BZ19">
        <v>-14.529411764705801</v>
      </c>
      <c r="CA19">
        <v>-4.3333333333333304</v>
      </c>
      <c r="CB19">
        <v>0.57142857142857295</v>
      </c>
      <c r="CC19">
        <v>2.9230769230769198</v>
      </c>
      <c r="CD19">
        <v>-3.6666666666666701</v>
      </c>
      <c r="CE19">
        <v>0</v>
      </c>
      <c r="CF19">
        <v>-0.22222222222222099</v>
      </c>
      <c r="CG19">
        <v>-4.5</v>
      </c>
      <c r="CH19">
        <v>12</v>
      </c>
      <c r="CI19">
        <v>23</v>
      </c>
      <c r="CJ19">
        <v>31</v>
      </c>
      <c r="CK19">
        <v>40</v>
      </c>
      <c r="CL19">
        <v>53</v>
      </c>
      <c r="CM19">
        <v>58</v>
      </c>
      <c r="CN19">
        <v>0.11111111111110999</v>
      </c>
      <c r="CO19">
        <v>0.39325842696629199</v>
      </c>
      <c r="CP19">
        <v>0</v>
      </c>
      <c r="CQ19">
        <v>0.51162790697674398</v>
      </c>
      <c r="CR19">
        <v>1.0588235294117601</v>
      </c>
      <c r="CS19">
        <v>1.52380952380952</v>
      </c>
    </row>
    <row r="20" spans="3:97">
      <c r="C20" t="s">
        <v>9</v>
      </c>
      <c r="D20" s="2">
        <f>'Cumulative Odds 40%'!Y13</f>
        <v>11.9</v>
      </c>
      <c r="E20" s="2">
        <f>'Cumulative Odds 40%'!Z13</f>
        <v>6.4</v>
      </c>
      <c r="F20" s="2">
        <f>'Cumulative Odds 40%'!AA13</f>
        <v>5.5</v>
      </c>
      <c r="G20" s="2">
        <f>'Cumulative Odds 40%'!AB13</f>
        <v>40.419999999999995</v>
      </c>
      <c r="H20" s="4"/>
    </row>
    <row r="21" spans="3:97">
      <c r="C21" t="s">
        <v>11</v>
      </c>
      <c r="D21" s="2">
        <f>'Cumulative Odds 30%'!Y13</f>
        <v>10.4</v>
      </c>
      <c r="E21" s="2">
        <f>'Cumulative Odds 30%'!Z13</f>
        <v>5.5</v>
      </c>
      <c r="F21" s="2">
        <f>'Cumulative Odds 30%'!AA13</f>
        <v>4.9000000000000004</v>
      </c>
      <c r="G21" s="2">
        <f>'Cumulative Odds 30%'!AB13</f>
        <v>44.344999999999999</v>
      </c>
      <c r="H21" s="4"/>
    </row>
    <row r="22" spans="3:97">
      <c r="C22" t="s">
        <v>12</v>
      </c>
      <c r="D22" s="2">
        <f>'Individual Odds 10%'!Y13</f>
        <v>14.5</v>
      </c>
      <c r="E22" s="2">
        <f>'Individual Odds 10%'!Z13</f>
        <v>0.6</v>
      </c>
      <c r="F22" s="2">
        <f>'Individual Odds 10%'!AA13</f>
        <v>13.9</v>
      </c>
      <c r="G22" s="2">
        <f>'Individual Odds 10%'!AB13</f>
        <v>15.143131868131865</v>
      </c>
      <c r="H22" s="4"/>
    </row>
    <row r="23" spans="3:97">
      <c r="C23" t="s">
        <v>13</v>
      </c>
      <c r="D23" s="2">
        <f>'Individual Odds 20%'!T13</f>
        <v>10.5</v>
      </c>
      <c r="E23" s="2">
        <f>'Individual Odds 20%'!U13</f>
        <v>2.2999999999999998</v>
      </c>
      <c r="F23" s="2">
        <f>'Individual Odds 20%'!V13</f>
        <v>8.1999999999999993</v>
      </c>
      <c r="G23" s="2">
        <f>'Individual Odds 20%'!W13</f>
        <v>26.147222222222222</v>
      </c>
      <c r="H23" s="4"/>
    </row>
    <row r="24" spans="3:97">
      <c r="C24" t="s">
        <v>14</v>
      </c>
      <c r="D24" s="2">
        <f>'Individual Odds 30%'!T13</f>
        <v>10.4</v>
      </c>
      <c r="E24" s="2">
        <f>'Individual Odds 30%'!U13</f>
        <v>4.0999999999999996</v>
      </c>
      <c r="F24" s="2">
        <f>'Individual Odds 30%'!V13</f>
        <v>6.3</v>
      </c>
      <c r="G24" s="2">
        <f>'Individual Odds 30%'!W13</f>
        <v>35.610476190476192</v>
      </c>
      <c r="H24" s="4"/>
    </row>
    <row r="25" spans="3:97">
      <c r="C25" t="s">
        <v>15</v>
      </c>
      <c r="D25" s="2">
        <f>'Individual Odds 40%'!Y13</f>
        <v>13.1</v>
      </c>
      <c r="E25" s="2">
        <f>'Individual Odds 40%'!Z13</f>
        <v>8.3000000000000007</v>
      </c>
      <c r="F25" s="2">
        <f>'Individual Odds 40%'!AA13</f>
        <v>4.8</v>
      </c>
      <c r="G25" s="2">
        <f>'Individual Odds 40%'!AB13</f>
        <v>47.795000000000002</v>
      </c>
      <c r="H25" s="4"/>
    </row>
    <row r="26" spans="3:97">
      <c r="AG26">
        <v>28.846153846153801</v>
      </c>
    </row>
    <row r="27" spans="3:97">
      <c r="C27" t="s">
        <v>92</v>
      </c>
      <c r="J27" t="s">
        <v>98</v>
      </c>
      <c r="AG27">
        <v>28.846153846153801</v>
      </c>
    </row>
    <row r="28" spans="3:97" ht="15" customHeight="1">
      <c r="C28" s="6" t="s">
        <v>93</v>
      </c>
    </row>
    <row r="29" spans="3:97">
      <c r="C29" s="6"/>
      <c r="K29" t="s">
        <v>101</v>
      </c>
    </row>
    <row r="30" spans="3:97">
      <c r="C30" s="6"/>
      <c r="K30" t="s">
        <v>99</v>
      </c>
      <c r="L30" t="s">
        <v>100</v>
      </c>
      <c r="O30" t="s">
        <v>97</v>
      </c>
    </row>
    <row r="31" spans="3:97">
      <c r="C31" s="6"/>
      <c r="K31">
        <v>-8.79120879120876E-2</v>
      </c>
      <c r="L31">
        <v>1</v>
      </c>
      <c r="O31">
        <v>1</v>
      </c>
    </row>
    <row r="32" spans="3:97">
      <c r="C32" s="6"/>
      <c r="K32">
        <v>-0.22222222222222099</v>
      </c>
      <c r="L32">
        <v>1.88888888888888</v>
      </c>
      <c r="O32">
        <v>2</v>
      </c>
    </row>
    <row r="33" spans="3:15">
      <c r="C33" s="6"/>
      <c r="K33">
        <v>-0.46067415730336903</v>
      </c>
      <c r="L33">
        <v>1.7640449438202199</v>
      </c>
      <c r="O33">
        <v>3</v>
      </c>
    </row>
    <row r="34" spans="3:15">
      <c r="C34" s="6"/>
      <c r="K34">
        <v>0.5</v>
      </c>
      <c r="L34">
        <v>1.13636363636363</v>
      </c>
      <c r="O34">
        <v>4</v>
      </c>
    </row>
    <row r="35" spans="3:15">
      <c r="C35" s="6"/>
      <c r="K35">
        <v>-0.42528735632183801</v>
      </c>
      <c r="L35">
        <v>-1.02790697674418</v>
      </c>
      <c r="O35">
        <v>5</v>
      </c>
    </row>
    <row r="36" spans="3:15">
      <c r="C36" s="6"/>
      <c r="K36">
        <v>-0.32558139534884101</v>
      </c>
      <c r="L36">
        <v>-4.7058823529411598E-2</v>
      </c>
      <c r="O36">
        <v>6</v>
      </c>
    </row>
    <row r="37" spans="3:15">
      <c r="C37" s="6"/>
      <c r="K37">
        <v>0.66666666666666696</v>
      </c>
      <c r="L37">
        <v>-0.78095238095238095</v>
      </c>
      <c r="O37">
        <v>7</v>
      </c>
    </row>
    <row r="38" spans="3:15">
      <c r="C38" s="6"/>
      <c r="K38">
        <v>1.5180722891566201</v>
      </c>
      <c r="L38">
        <v>-1.36385542168674</v>
      </c>
      <c r="O38">
        <v>8</v>
      </c>
    </row>
    <row r="39" spans="3:15">
      <c r="C39" s="6"/>
      <c r="K39">
        <v>1.17073170731707</v>
      </c>
      <c r="L39">
        <v>-1.96097560975609</v>
      </c>
      <c r="O39">
        <v>9</v>
      </c>
    </row>
    <row r="40" spans="3:15">
      <c r="C40" s="6"/>
      <c r="K40">
        <v>2.9012345679012301</v>
      </c>
      <c r="L40">
        <v>-1.05</v>
      </c>
      <c r="O40">
        <v>10</v>
      </c>
    </row>
    <row r="41" spans="3:15">
      <c r="C41" s="6"/>
      <c r="K41">
        <v>1.75</v>
      </c>
      <c r="L41">
        <v>-1.19240506329114</v>
      </c>
      <c r="O41">
        <v>11</v>
      </c>
    </row>
    <row r="42" spans="3:15">
      <c r="C42" s="6"/>
      <c r="K42">
        <v>-0.82051282051281904</v>
      </c>
      <c r="L42">
        <v>-0.31282051282051099</v>
      </c>
      <c r="O42">
        <v>12</v>
      </c>
    </row>
    <row r="43" spans="3:15">
      <c r="C43" s="6"/>
      <c r="K43">
        <v>12.012987012987001</v>
      </c>
      <c r="L43">
        <v>0.53684210526315801</v>
      </c>
      <c r="O43">
        <v>13</v>
      </c>
    </row>
    <row r="44" spans="3:15">
      <c r="C44" s="6"/>
      <c r="K44">
        <v>11.3157894736842</v>
      </c>
      <c r="L44">
        <v>0.8</v>
      </c>
      <c r="O44">
        <v>14</v>
      </c>
    </row>
    <row r="45" spans="3:15">
      <c r="C45" s="6"/>
      <c r="K45">
        <v>12.6666666666666</v>
      </c>
      <c r="L45">
        <v>-0.76756756756756706</v>
      </c>
      <c r="O45">
        <v>15</v>
      </c>
    </row>
    <row r="46" spans="3:15">
      <c r="C46" s="6"/>
      <c r="K46">
        <v>12.270270270270199</v>
      </c>
      <c r="L46">
        <v>-0.96712328767123101</v>
      </c>
      <c r="O46">
        <v>16</v>
      </c>
    </row>
    <row r="47" spans="3:15">
      <c r="C47" s="6"/>
      <c r="K47">
        <v>12.8630136986301</v>
      </c>
      <c r="L47">
        <v>0.63333333333333197</v>
      </c>
      <c r="O47">
        <v>17</v>
      </c>
    </row>
    <row r="48" spans="3:15">
      <c r="C48" s="6"/>
      <c r="K48">
        <v>2.77464788732394</v>
      </c>
      <c r="L48">
        <v>-2.8169014084511398E-3</v>
      </c>
      <c r="O48">
        <v>18</v>
      </c>
    </row>
    <row r="49" spans="3:15">
      <c r="C49" s="6"/>
      <c r="K49">
        <v>3.5714285714285698</v>
      </c>
      <c r="L49">
        <v>-3.0927536231884001</v>
      </c>
      <c r="O49">
        <v>19</v>
      </c>
    </row>
    <row r="50" spans="3:15">
      <c r="C50" s="6"/>
      <c r="K50">
        <v>3.3623188405797002</v>
      </c>
      <c r="L50">
        <v>-4.1882352941176402</v>
      </c>
      <c r="O50">
        <v>20</v>
      </c>
    </row>
    <row r="51" spans="3:15">
      <c r="C51" s="6"/>
      <c r="K51">
        <v>2.70588235294117</v>
      </c>
      <c r="L51">
        <v>-5.1515151515151496</v>
      </c>
      <c r="O51">
        <v>21</v>
      </c>
    </row>
    <row r="52" spans="3:15">
      <c r="C52" s="6"/>
      <c r="K52">
        <v>2.2089552238805998</v>
      </c>
      <c r="L52">
        <v>-3.4615384615384599</v>
      </c>
      <c r="O52">
        <v>22</v>
      </c>
    </row>
    <row r="53" spans="3:15">
      <c r="C53" s="6"/>
      <c r="K53">
        <v>0.51515151515151503</v>
      </c>
      <c r="L53">
        <v>-4</v>
      </c>
      <c r="O53">
        <v>23</v>
      </c>
    </row>
    <row r="54" spans="3:15">
      <c r="C54" s="6"/>
      <c r="K54">
        <v>5.48484848484848</v>
      </c>
      <c r="L54">
        <v>-2.9206349206349098</v>
      </c>
      <c r="O54">
        <v>24</v>
      </c>
    </row>
    <row r="55" spans="3:15">
      <c r="C55" s="6"/>
      <c r="K55">
        <v>6.2307692307692299</v>
      </c>
      <c r="L55">
        <v>-0.318032786885246</v>
      </c>
      <c r="O55">
        <v>25</v>
      </c>
    </row>
    <row r="56" spans="3:15">
      <c r="C56" s="6"/>
      <c r="K56">
        <v>5.5625</v>
      </c>
      <c r="L56">
        <v>1.2666666666666599</v>
      </c>
      <c r="O56">
        <v>26</v>
      </c>
    </row>
    <row r="57" spans="3:15">
      <c r="C57" s="6"/>
      <c r="K57">
        <v>5.4920634920634903</v>
      </c>
      <c r="L57">
        <v>-1.2135593220338901</v>
      </c>
      <c r="O57">
        <v>27</v>
      </c>
    </row>
    <row r="58" spans="3:15">
      <c r="C58" s="6"/>
      <c r="K58">
        <v>1.38709677419355</v>
      </c>
      <c r="L58">
        <v>-3.50344827586206</v>
      </c>
      <c r="O58">
        <v>28</v>
      </c>
    </row>
    <row r="59" spans="3:15">
      <c r="C59" s="6"/>
      <c r="K59">
        <v>-0.66666666666666596</v>
      </c>
      <c r="L59">
        <v>-4.0857142857142801</v>
      </c>
      <c r="O59">
        <v>29</v>
      </c>
    </row>
    <row r="60" spans="3:15">
      <c r="K60">
        <v>2.7457627118643999</v>
      </c>
      <c r="L60">
        <v>-1.4592592592592499</v>
      </c>
      <c r="O60">
        <v>30</v>
      </c>
    </row>
    <row r="61" spans="3:15">
      <c r="K61">
        <v>2.41379310344827</v>
      </c>
      <c r="L61">
        <v>-4.9547169811320702</v>
      </c>
      <c r="O61">
        <v>31</v>
      </c>
    </row>
    <row r="62" spans="3:15">
      <c r="K62">
        <v>0.42857142857142799</v>
      </c>
      <c r="L62">
        <v>-2.19999999999999</v>
      </c>
      <c r="O62">
        <v>32</v>
      </c>
    </row>
    <row r="63" spans="3:15">
      <c r="K63">
        <v>0.90909090909090795</v>
      </c>
      <c r="L63">
        <v>-2.5999999999999899</v>
      </c>
      <c r="O63">
        <v>33</v>
      </c>
    </row>
    <row r="64" spans="3:15">
      <c r="K64">
        <v>1.4814814814814801</v>
      </c>
      <c r="L64">
        <v>-4.25</v>
      </c>
      <c r="O64">
        <v>34</v>
      </c>
    </row>
    <row r="65" spans="11:15">
      <c r="K65">
        <v>6.2452830188679203</v>
      </c>
      <c r="L65">
        <v>0.489361702127659</v>
      </c>
      <c r="O65">
        <v>35</v>
      </c>
    </row>
    <row r="66" spans="11:15">
      <c r="K66">
        <v>6.1538461538461497</v>
      </c>
      <c r="L66">
        <v>-3.7391304347826</v>
      </c>
      <c r="O66">
        <v>36</v>
      </c>
    </row>
    <row r="67" spans="11:15">
      <c r="K67">
        <v>-1</v>
      </c>
      <c r="L67">
        <v>-5.55555555555555</v>
      </c>
      <c r="O67">
        <v>37</v>
      </c>
    </row>
    <row r="68" spans="11:15">
      <c r="K68">
        <v>0.63265306122448794</v>
      </c>
      <c r="L68">
        <v>-4.4545454545454497</v>
      </c>
      <c r="O68">
        <v>38</v>
      </c>
    </row>
    <row r="69" spans="11:15">
      <c r="K69">
        <v>-18.75</v>
      </c>
      <c r="L69">
        <v>-5.9238095238095196</v>
      </c>
      <c r="O69">
        <v>39</v>
      </c>
    </row>
    <row r="70" spans="11:15">
      <c r="K70">
        <v>-21.276595744680801</v>
      </c>
      <c r="L70">
        <v>-9.3512195121951205</v>
      </c>
      <c r="O70">
        <v>40</v>
      </c>
    </row>
    <row r="71" spans="11:15">
      <c r="K71">
        <v>-30.434782608695599</v>
      </c>
      <c r="L71">
        <v>-6.8999999999999897</v>
      </c>
      <c r="O71">
        <v>41</v>
      </c>
    </row>
    <row r="72" spans="11:15">
      <c r="K72">
        <v>-33.3333333333333</v>
      </c>
      <c r="L72">
        <v>-8.5538461538461501</v>
      </c>
      <c r="O72">
        <v>42</v>
      </c>
    </row>
    <row r="73" spans="11:15">
      <c r="K73">
        <v>7</v>
      </c>
      <c r="L73">
        <v>-11.0315789473684</v>
      </c>
      <c r="O73">
        <v>43</v>
      </c>
    </row>
    <row r="74" spans="11:15">
      <c r="K74">
        <v>5.71428571428571</v>
      </c>
      <c r="L74">
        <v>-6.8594594594594502</v>
      </c>
      <c r="O74">
        <v>44</v>
      </c>
    </row>
    <row r="75" spans="11:15">
      <c r="K75">
        <v>4.1707317073170698</v>
      </c>
      <c r="L75">
        <v>-6.2285714285714198</v>
      </c>
      <c r="O75">
        <v>45</v>
      </c>
    </row>
    <row r="76" spans="11:15">
      <c r="K76">
        <v>2.7435897435897401</v>
      </c>
      <c r="L76">
        <v>-0.65714285714285703</v>
      </c>
      <c r="O76">
        <v>46</v>
      </c>
    </row>
    <row r="77" spans="11:15">
      <c r="K77">
        <v>1.31578947368421</v>
      </c>
      <c r="L77">
        <v>3.4352941176470502</v>
      </c>
      <c r="O77">
        <v>47</v>
      </c>
    </row>
    <row r="78" spans="11:15">
      <c r="K78">
        <v>0.86486486486486303</v>
      </c>
      <c r="L78">
        <v>11.048484848484801</v>
      </c>
      <c r="O78">
        <v>48</v>
      </c>
    </row>
    <row r="79" spans="11:15">
      <c r="K79">
        <v>2.3333333333333202</v>
      </c>
      <c r="L79">
        <v>9.1999999999999993</v>
      </c>
      <c r="O79">
        <v>49</v>
      </c>
    </row>
    <row r="80" spans="11:15">
      <c r="K80">
        <v>7.1428571428571397</v>
      </c>
      <c r="L80">
        <v>10.1677419354838</v>
      </c>
      <c r="O80">
        <v>50</v>
      </c>
    </row>
    <row r="81" spans="11:15">
      <c r="K81">
        <v>3</v>
      </c>
      <c r="L81">
        <v>9.1999999999999993</v>
      </c>
      <c r="O81">
        <v>51</v>
      </c>
    </row>
    <row r="82" spans="11:15">
      <c r="K82">
        <v>-1.375</v>
      </c>
      <c r="L82">
        <v>0.65714285714285703</v>
      </c>
      <c r="O82">
        <v>52</v>
      </c>
    </row>
    <row r="83" spans="11:15">
      <c r="K83" t="s">
        <v>94</v>
      </c>
      <c r="L83">
        <v>-0.31111111111111001</v>
      </c>
      <c r="O83">
        <v>53</v>
      </c>
    </row>
    <row r="84" spans="11:15">
      <c r="K84">
        <v>1</v>
      </c>
      <c r="L84">
        <v>6.2615384615384597</v>
      </c>
      <c r="O84">
        <v>54</v>
      </c>
    </row>
    <row r="85" spans="11:15">
      <c r="K85">
        <v>2.6206896551724101</v>
      </c>
      <c r="L85">
        <v>5.8</v>
      </c>
      <c r="O85">
        <v>55</v>
      </c>
    </row>
    <row r="86" spans="11:15">
      <c r="K86">
        <v>-1.1111111111111101</v>
      </c>
      <c r="L86">
        <v>-2.7</v>
      </c>
      <c r="O86">
        <v>56</v>
      </c>
    </row>
    <row r="87" spans="11:15">
      <c r="K87">
        <v>-4.2307692307692299</v>
      </c>
      <c r="L87">
        <v>-8.6909090909090896</v>
      </c>
      <c r="O87">
        <v>57</v>
      </c>
    </row>
    <row r="88" spans="11:15">
      <c r="K88" s="5">
        <v>-3.5527136788005001E-15</v>
      </c>
      <c r="L88">
        <v>-11.409523809523799</v>
      </c>
      <c r="O88">
        <v>58</v>
      </c>
    </row>
    <row r="89" spans="11:15">
      <c r="K89">
        <v>0.83333333333333204</v>
      </c>
      <c r="L89">
        <v>-12.789473684210501</v>
      </c>
      <c r="O89">
        <v>59</v>
      </c>
    </row>
    <row r="90" spans="11:15">
      <c r="K90">
        <v>-0.78260869565217195</v>
      </c>
      <c r="L90">
        <v>0.71764705882352897</v>
      </c>
      <c r="O90">
        <v>60</v>
      </c>
    </row>
    <row r="91" spans="11:15">
      <c r="K91">
        <v>0.238095238095238</v>
      </c>
      <c r="L91">
        <v>-3.8</v>
      </c>
      <c r="O91">
        <v>61</v>
      </c>
    </row>
    <row r="92" spans="11:15">
      <c r="K92">
        <v>3</v>
      </c>
      <c r="L92">
        <v>4.1999999999999904</v>
      </c>
      <c r="O92">
        <v>62</v>
      </c>
    </row>
    <row r="93" spans="11:15">
      <c r="K93">
        <v>-20.105263157894701</v>
      </c>
      <c r="L93">
        <v>0.507692307692306</v>
      </c>
      <c r="O93">
        <v>63</v>
      </c>
    </row>
    <row r="94" spans="11:15">
      <c r="K94">
        <v>-14.529411764705801</v>
      </c>
      <c r="L94">
        <v>5.86666666666666</v>
      </c>
      <c r="O94">
        <v>64</v>
      </c>
    </row>
    <row r="95" spans="11:15">
      <c r="K95">
        <v>-4.3333333333333304</v>
      </c>
      <c r="L95">
        <v>5.0181818181818096</v>
      </c>
      <c r="O95">
        <v>65</v>
      </c>
    </row>
    <row r="96" spans="11:15">
      <c r="K96">
        <v>0.57142857142857295</v>
      </c>
      <c r="L96">
        <v>-4.7999999999999901</v>
      </c>
      <c r="O96">
        <v>66</v>
      </c>
    </row>
    <row r="97" spans="11:15">
      <c r="K97">
        <v>2.9230769230769198</v>
      </c>
      <c r="L97">
        <v>-2.2000000000000002</v>
      </c>
      <c r="O97">
        <v>67</v>
      </c>
    </row>
    <row r="98" spans="11:15">
      <c r="K98">
        <v>-3.6666666666666701</v>
      </c>
      <c r="L98">
        <v>-4.4857142857142804</v>
      </c>
      <c r="O98">
        <v>68</v>
      </c>
    </row>
    <row r="99" spans="11:15">
      <c r="K99">
        <v>0</v>
      </c>
      <c r="L99">
        <v>-13.533333333333299</v>
      </c>
      <c r="O99">
        <v>69</v>
      </c>
    </row>
    <row r="100" spans="11:15">
      <c r="K100">
        <v>-0.22222222222222099</v>
      </c>
      <c r="L100">
        <v>-3.6</v>
      </c>
      <c r="O100">
        <v>70</v>
      </c>
    </row>
    <row r="101" spans="11:15">
      <c r="L101">
        <v>6.3999999999999897</v>
      </c>
      <c r="O101">
        <v>71</v>
      </c>
    </row>
    <row r="102" spans="11:15">
      <c r="L102">
        <v>7.3999999999999897</v>
      </c>
      <c r="O102">
        <v>72</v>
      </c>
    </row>
    <row r="103" spans="11:15">
      <c r="L103">
        <v>16.399999999999999</v>
      </c>
      <c r="O103">
        <v>73</v>
      </c>
    </row>
    <row r="104" spans="11:15">
      <c r="L104">
        <v>-9.9626373626373592</v>
      </c>
      <c r="O104">
        <v>74</v>
      </c>
    </row>
    <row r="105" spans="11:15">
      <c r="L105">
        <v>-7.1123595505617896</v>
      </c>
      <c r="O105">
        <v>75</v>
      </c>
    </row>
    <row r="106" spans="11:15">
      <c r="L106">
        <v>-6.7272727272727204</v>
      </c>
      <c r="O106">
        <v>76</v>
      </c>
    </row>
    <row r="107" spans="11:15">
      <c r="L107">
        <v>-7.0344827586206904</v>
      </c>
      <c r="O107">
        <v>77</v>
      </c>
    </row>
    <row r="108" spans="11:15">
      <c r="L108">
        <v>-6.53488372093023</v>
      </c>
      <c r="O108">
        <v>78</v>
      </c>
    </row>
    <row r="109" spans="11:15">
      <c r="L109">
        <v>-6.3523809523809502</v>
      </c>
      <c r="O109">
        <v>79</v>
      </c>
    </row>
    <row r="110" spans="11:15">
      <c r="L110">
        <v>5.9523809523809499</v>
      </c>
      <c r="O110">
        <v>80</v>
      </c>
    </row>
  </sheetData>
  <mergeCells count="1">
    <mergeCell ref="C28:C5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07D27-1FF4-439D-92A4-276D421E0659}">
  <dimension ref="B2:W13"/>
  <sheetViews>
    <sheetView topLeftCell="F1" workbookViewId="0">
      <selection activeCell="Y11" sqref="Y11"/>
    </sheetView>
  </sheetViews>
  <sheetFormatPr defaultRowHeight="15"/>
  <cols>
    <col min="2" max="2" width="20.7109375" bestFit="1" customWidth="1"/>
    <col min="19" max="19" width="10.7109375" bestFit="1" customWidth="1"/>
    <col min="20" max="20" width="12.5703125" bestFit="1" customWidth="1"/>
    <col min="21" max="21" width="10.7109375" bestFit="1" customWidth="1"/>
    <col min="22" max="22" width="10.140625" bestFit="1" customWidth="1"/>
  </cols>
  <sheetData>
    <row r="2" spans="2:23">
      <c r="B2" t="s">
        <v>17</v>
      </c>
      <c r="D2" t="s">
        <v>19</v>
      </c>
      <c r="E2" t="s">
        <v>20</v>
      </c>
      <c r="F2" t="s">
        <v>21</v>
      </c>
      <c r="G2" t="s">
        <v>22</v>
      </c>
      <c r="H2" t="s">
        <v>23</v>
      </c>
      <c r="I2" t="s">
        <v>24</v>
      </c>
      <c r="J2" t="s">
        <v>25</v>
      </c>
      <c r="K2" t="s">
        <v>26</v>
      </c>
      <c r="L2" t="s">
        <v>27</v>
      </c>
      <c r="M2" t="s">
        <v>28</v>
      </c>
      <c r="N2" t="s">
        <v>29</v>
      </c>
      <c r="O2" t="s">
        <v>30</v>
      </c>
      <c r="P2" t="s">
        <v>40</v>
      </c>
      <c r="Q2" t="s">
        <v>41</v>
      </c>
      <c r="R2" t="s">
        <v>42</v>
      </c>
      <c r="S2" t="s">
        <v>50</v>
      </c>
      <c r="T2" t="s">
        <v>49</v>
      </c>
      <c r="U2" t="s">
        <v>48</v>
      </c>
      <c r="V2" t="s">
        <v>51</v>
      </c>
      <c r="W2" t="s">
        <v>77</v>
      </c>
    </row>
    <row r="3" spans="2:23">
      <c r="C3" t="s">
        <v>18</v>
      </c>
      <c r="D3" s="1">
        <v>0</v>
      </c>
      <c r="E3" s="1">
        <v>0</v>
      </c>
      <c r="F3" s="1">
        <v>0</v>
      </c>
      <c r="G3" s="1">
        <v>0</v>
      </c>
      <c r="H3" s="1">
        <v>34</v>
      </c>
      <c r="I3" s="1">
        <v>0</v>
      </c>
      <c r="J3" s="1">
        <v>38</v>
      </c>
      <c r="K3" s="1">
        <v>29</v>
      </c>
      <c r="L3" s="1">
        <v>0</v>
      </c>
      <c r="M3" s="1">
        <v>40</v>
      </c>
      <c r="N3" s="1">
        <v>0</v>
      </c>
      <c r="O3" s="1">
        <v>60</v>
      </c>
      <c r="P3" s="1"/>
      <c r="Q3" s="1"/>
      <c r="R3" s="1"/>
      <c r="S3">
        <f>SUM(D3:R3)</f>
        <v>201</v>
      </c>
      <c r="T3">
        <f>COUNT(D3:R3)</f>
        <v>12</v>
      </c>
      <c r="U3">
        <f>COUNTIF(D3:R3,0)</f>
        <v>7</v>
      </c>
      <c r="V3">
        <f>T3-U3</f>
        <v>5</v>
      </c>
      <c r="W3">
        <f>S3/V3</f>
        <v>40.200000000000003</v>
      </c>
    </row>
    <row r="4" spans="2:23">
      <c r="C4" t="s">
        <v>31</v>
      </c>
      <c r="D4" s="1">
        <v>0</v>
      </c>
      <c r="E4" s="1">
        <v>42</v>
      </c>
      <c r="F4" s="1">
        <v>0</v>
      </c>
      <c r="G4" s="1">
        <v>37</v>
      </c>
      <c r="H4" s="1">
        <v>61</v>
      </c>
      <c r="I4" s="1">
        <v>29</v>
      </c>
      <c r="J4" s="1">
        <v>0</v>
      </c>
      <c r="K4" s="1">
        <v>34</v>
      </c>
      <c r="L4" s="1"/>
      <c r="M4" s="1"/>
      <c r="N4" s="1"/>
      <c r="O4" s="1"/>
      <c r="P4" s="1"/>
      <c r="Q4" s="1"/>
      <c r="R4" s="1"/>
      <c r="S4">
        <f t="shared" ref="S4:S12" si="0">SUM(D4:R4)</f>
        <v>203</v>
      </c>
      <c r="T4">
        <f t="shared" ref="T4:T12" si="1">COUNT(D4:R4)</f>
        <v>8</v>
      </c>
      <c r="U4">
        <f t="shared" ref="U4:U12" si="2">COUNTIF(D4:R4,0)</f>
        <v>3</v>
      </c>
      <c r="V4">
        <f t="shared" ref="V4:V12" si="3">T4-U4</f>
        <v>5</v>
      </c>
      <c r="W4">
        <f t="shared" ref="W4:W12" si="4">S4/V4</f>
        <v>40.6</v>
      </c>
    </row>
    <row r="5" spans="2:23">
      <c r="C5" t="s">
        <v>32</v>
      </c>
      <c r="D5" s="1">
        <v>0</v>
      </c>
      <c r="E5" s="1">
        <v>48</v>
      </c>
      <c r="F5" s="1">
        <v>0</v>
      </c>
      <c r="G5" s="1">
        <v>0</v>
      </c>
      <c r="H5" s="1">
        <v>38</v>
      </c>
      <c r="I5" s="1">
        <v>29</v>
      </c>
      <c r="J5" s="1">
        <v>0</v>
      </c>
      <c r="K5" s="1">
        <v>0</v>
      </c>
      <c r="L5" s="1">
        <v>34</v>
      </c>
      <c r="M5" s="1">
        <v>64</v>
      </c>
      <c r="N5" s="1"/>
      <c r="O5" s="1"/>
      <c r="P5" s="1"/>
      <c r="Q5" s="1"/>
      <c r="R5" s="1"/>
      <c r="S5">
        <f t="shared" si="0"/>
        <v>213</v>
      </c>
      <c r="T5">
        <f t="shared" si="1"/>
        <v>10</v>
      </c>
      <c r="U5">
        <f t="shared" si="2"/>
        <v>5</v>
      </c>
      <c r="V5">
        <f t="shared" si="3"/>
        <v>5</v>
      </c>
      <c r="W5">
        <f t="shared" si="4"/>
        <v>42.6</v>
      </c>
    </row>
    <row r="6" spans="2:23">
      <c r="C6" t="s">
        <v>33</v>
      </c>
      <c r="D6" s="1">
        <v>34</v>
      </c>
      <c r="E6" s="1">
        <v>27</v>
      </c>
      <c r="F6" s="1">
        <v>0</v>
      </c>
      <c r="G6" s="1">
        <v>0</v>
      </c>
      <c r="H6" s="1">
        <v>0</v>
      </c>
      <c r="I6" s="1">
        <v>29</v>
      </c>
      <c r="J6" s="1">
        <v>0</v>
      </c>
      <c r="K6" s="1">
        <v>0</v>
      </c>
      <c r="L6" s="1">
        <v>40</v>
      </c>
      <c r="M6" s="1">
        <v>35</v>
      </c>
      <c r="N6" s="1">
        <v>61</v>
      </c>
      <c r="O6" s="1"/>
      <c r="P6" s="1"/>
      <c r="Q6" s="1"/>
      <c r="R6" s="1"/>
      <c r="S6">
        <f t="shared" si="0"/>
        <v>226</v>
      </c>
      <c r="T6">
        <f t="shared" si="1"/>
        <v>11</v>
      </c>
      <c r="U6">
        <f t="shared" si="2"/>
        <v>5</v>
      </c>
      <c r="V6">
        <f t="shared" si="3"/>
        <v>6</v>
      </c>
      <c r="W6">
        <f t="shared" si="4"/>
        <v>37.666666666666664</v>
      </c>
    </row>
    <row r="7" spans="2:23">
      <c r="C7" t="s">
        <v>34</v>
      </c>
      <c r="D7" s="1">
        <v>30</v>
      </c>
      <c r="E7" s="1">
        <v>0</v>
      </c>
      <c r="F7" s="1">
        <v>34</v>
      </c>
      <c r="G7" s="1">
        <v>36</v>
      </c>
      <c r="H7" s="1">
        <v>0</v>
      </c>
      <c r="I7" s="1">
        <v>38</v>
      </c>
      <c r="J7" s="1">
        <v>31</v>
      </c>
      <c r="K7" s="1">
        <v>34</v>
      </c>
      <c r="L7" s="1"/>
      <c r="M7" s="1"/>
      <c r="N7" s="1"/>
      <c r="O7" s="1"/>
      <c r="P7" s="1"/>
      <c r="Q7" s="1"/>
      <c r="R7" s="1"/>
      <c r="S7">
        <f t="shared" si="0"/>
        <v>203</v>
      </c>
      <c r="T7">
        <f t="shared" si="1"/>
        <v>8</v>
      </c>
      <c r="U7">
        <f t="shared" si="2"/>
        <v>2</v>
      </c>
      <c r="V7">
        <f t="shared" si="3"/>
        <v>6</v>
      </c>
      <c r="W7">
        <f t="shared" si="4"/>
        <v>33.833333333333336</v>
      </c>
    </row>
    <row r="8" spans="2:23">
      <c r="C8" t="s">
        <v>35</v>
      </c>
      <c r="D8" s="1">
        <v>0</v>
      </c>
      <c r="E8" s="1">
        <v>33</v>
      </c>
      <c r="F8" s="1">
        <v>31</v>
      </c>
      <c r="G8" s="1">
        <v>32</v>
      </c>
      <c r="H8" s="1">
        <v>38</v>
      </c>
      <c r="I8" s="1">
        <v>31</v>
      </c>
      <c r="J8" s="1">
        <v>37</v>
      </c>
      <c r="K8" s="1"/>
      <c r="L8" s="1"/>
      <c r="M8" s="1"/>
      <c r="N8" s="1"/>
      <c r="O8" s="1"/>
      <c r="P8" s="1"/>
      <c r="Q8" s="1"/>
      <c r="R8" s="1"/>
      <c r="S8">
        <f t="shared" si="0"/>
        <v>202</v>
      </c>
      <c r="T8">
        <f t="shared" si="1"/>
        <v>7</v>
      </c>
      <c r="U8">
        <f t="shared" si="2"/>
        <v>1</v>
      </c>
      <c r="V8">
        <f t="shared" si="3"/>
        <v>6</v>
      </c>
      <c r="W8">
        <f t="shared" si="4"/>
        <v>33.666666666666664</v>
      </c>
    </row>
    <row r="9" spans="2:23">
      <c r="C9" t="s">
        <v>36</v>
      </c>
      <c r="D9" s="1">
        <v>0</v>
      </c>
      <c r="E9" s="1">
        <v>0</v>
      </c>
      <c r="F9" s="1">
        <v>29</v>
      </c>
      <c r="G9" s="1">
        <v>41</v>
      </c>
      <c r="H9" s="1">
        <v>0</v>
      </c>
      <c r="I9" s="1">
        <v>0</v>
      </c>
      <c r="J9" s="1">
        <v>38</v>
      </c>
      <c r="K9" s="1">
        <v>0</v>
      </c>
      <c r="L9" s="1">
        <v>0</v>
      </c>
      <c r="M9" s="1">
        <v>38</v>
      </c>
      <c r="N9" s="1">
        <v>32</v>
      </c>
      <c r="O9" s="1">
        <v>33</v>
      </c>
      <c r="P9" s="1"/>
      <c r="Q9" s="1"/>
      <c r="R9" s="1"/>
      <c r="S9">
        <f t="shared" si="0"/>
        <v>211</v>
      </c>
      <c r="T9">
        <f t="shared" si="1"/>
        <v>12</v>
      </c>
      <c r="U9">
        <f t="shared" si="2"/>
        <v>6</v>
      </c>
      <c r="V9">
        <f t="shared" si="3"/>
        <v>6</v>
      </c>
      <c r="W9">
        <f t="shared" si="4"/>
        <v>35.166666666666664</v>
      </c>
    </row>
    <row r="10" spans="2:23">
      <c r="C10" t="s">
        <v>37</v>
      </c>
      <c r="D10" s="1">
        <v>38</v>
      </c>
      <c r="E10" s="1">
        <v>31</v>
      </c>
      <c r="F10" s="1">
        <v>0</v>
      </c>
      <c r="G10" s="1">
        <v>64</v>
      </c>
      <c r="H10" s="1">
        <v>0</v>
      </c>
      <c r="I10" s="1">
        <v>40</v>
      </c>
      <c r="J10" s="1">
        <v>0</v>
      </c>
      <c r="K10" s="1">
        <v>27</v>
      </c>
      <c r="L10" s="1"/>
      <c r="M10" s="1"/>
      <c r="N10" s="1"/>
      <c r="O10" s="1"/>
      <c r="P10" s="1"/>
      <c r="Q10" s="1"/>
      <c r="R10" s="1"/>
      <c r="S10">
        <f t="shared" si="0"/>
        <v>200</v>
      </c>
      <c r="T10">
        <f t="shared" si="1"/>
        <v>8</v>
      </c>
      <c r="U10">
        <f t="shared" si="2"/>
        <v>3</v>
      </c>
      <c r="V10">
        <f t="shared" si="3"/>
        <v>5</v>
      </c>
      <c r="W10">
        <f t="shared" si="4"/>
        <v>40</v>
      </c>
    </row>
    <row r="11" spans="2:23">
      <c r="C11" t="s">
        <v>38</v>
      </c>
      <c r="D11" s="1">
        <v>30</v>
      </c>
      <c r="E11" s="1">
        <v>0</v>
      </c>
      <c r="F11" s="1">
        <v>0</v>
      </c>
      <c r="G11" s="1">
        <v>0</v>
      </c>
      <c r="H11" s="1">
        <v>0</v>
      </c>
      <c r="I11" s="1">
        <v>40</v>
      </c>
      <c r="J11" s="1">
        <v>23</v>
      </c>
      <c r="K11" s="1">
        <v>32</v>
      </c>
      <c r="L11" s="1">
        <v>0</v>
      </c>
      <c r="M11" s="1">
        <v>33</v>
      </c>
      <c r="N11" s="1">
        <v>0</v>
      </c>
      <c r="O11" s="1">
        <v>46</v>
      </c>
      <c r="P11" s="1"/>
      <c r="Q11" s="1"/>
      <c r="R11" s="1"/>
      <c r="S11">
        <f t="shared" si="0"/>
        <v>204</v>
      </c>
      <c r="T11">
        <f t="shared" si="1"/>
        <v>12</v>
      </c>
      <c r="U11">
        <f t="shared" si="2"/>
        <v>6</v>
      </c>
      <c r="V11">
        <f t="shared" si="3"/>
        <v>6</v>
      </c>
      <c r="W11">
        <f t="shared" si="4"/>
        <v>34</v>
      </c>
    </row>
    <row r="12" spans="2:23">
      <c r="C12" t="s">
        <v>39</v>
      </c>
      <c r="D12" s="1">
        <v>0</v>
      </c>
      <c r="E12" s="1">
        <v>71</v>
      </c>
      <c r="F12" s="1">
        <v>35</v>
      </c>
      <c r="G12" s="1">
        <v>0</v>
      </c>
      <c r="H12" s="1">
        <v>28</v>
      </c>
      <c r="I12" s="1">
        <v>28</v>
      </c>
      <c r="J12" s="1">
        <v>38</v>
      </c>
      <c r="K12" s="1"/>
      <c r="L12" s="1"/>
      <c r="M12" s="1"/>
      <c r="N12" s="1"/>
      <c r="O12" s="1"/>
      <c r="P12" s="1"/>
      <c r="Q12" s="1"/>
      <c r="R12" s="1"/>
      <c r="S12">
        <f t="shared" si="0"/>
        <v>200</v>
      </c>
      <c r="T12">
        <f t="shared" si="1"/>
        <v>7</v>
      </c>
      <c r="U12">
        <f t="shared" si="2"/>
        <v>2</v>
      </c>
      <c r="V12">
        <f t="shared" si="3"/>
        <v>5</v>
      </c>
      <c r="W12">
        <f t="shared" si="4"/>
        <v>40</v>
      </c>
    </row>
    <row r="13" spans="2:23">
      <c r="S13" t="s">
        <v>52</v>
      </c>
      <c r="T13">
        <f>AVERAGE(T3:T12)</f>
        <v>9.5</v>
      </c>
      <c r="U13">
        <f t="shared" ref="U13:W13" si="5">AVERAGE(U3:U12)</f>
        <v>4</v>
      </c>
      <c r="V13">
        <f t="shared" si="5"/>
        <v>5.5</v>
      </c>
      <c r="W13">
        <f t="shared" si="5"/>
        <v>37.773333333333333</v>
      </c>
    </row>
  </sheetData>
  <phoneticPr fontId="3" type="noConversion"/>
  <conditionalFormatting sqref="D3:R12">
    <cfRule type="colorScale" priority="5">
      <colorScale>
        <cfvo type="min"/>
        <cfvo type="max"/>
        <color rgb="FFFF7128"/>
        <color theme="9"/>
      </colorScale>
    </cfRule>
    <cfRule type="cellIs" dxfId="19" priority="8" operator="equal">
      <formula>0</formula>
    </cfRule>
  </conditionalFormatting>
  <conditionalFormatting sqref="E7">
    <cfRule type="colorScale" priority="6">
      <colorScale>
        <cfvo type="min"/>
        <cfvo type="max"/>
        <color rgb="FFFF7128"/>
        <color theme="9"/>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4AD94-A3E1-4E9C-A119-699AFE910019}">
  <dimension ref="B2:W13"/>
  <sheetViews>
    <sheetView topLeftCell="G1" workbookViewId="0">
      <selection activeCell="W2" sqref="W2:W13"/>
    </sheetView>
  </sheetViews>
  <sheetFormatPr defaultRowHeight="15"/>
  <cols>
    <col min="2" max="2" width="22.28515625" bestFit="1" customWidth="1"/>
  </cols>
  <sheetData>
    <row r="2" spans="2:23">
      <c r="B2" t="s">
        <v>54</v>
      </c>
      <c r="D2" t="s">
        <v>19</v>
      </c>
      <c r="E2" t="s">
        <v>20</v>
      </c>
      <c r="F2" t="s">
        <v>21</v>
      </c>
      <c r="G2" t="s">
        <v>22</v>
      </c>
      <c r="H2" t="s">
        <v>23</v>
      </c>
      <c r="I2" t="s">
        <v>24</v>
      </c>
      <c r="J2" t="s">
        <v>25</v>
      </c>
      <c r="K2" t="s">
        <v>26</v>
      </c>
      <c r="L2" t="s">
        <v>27</v>
      </c>
      <c r="M2" t="s">
        <v>28</v>
      </c>
      <c r="N2" t="s">
        <v>29</v>
      </c>
      <c r="O2" t="s">
        <v>30</v>
      </c>
      <c r="P2" t="s">
        <v>40</v>
      </c>
      <c r="Q2" t="s">
        <v>41</v>
      </c>
      <c r="R2" t="s">
        <v>42</v>
      </c>
      <c r="S2" t="s">
        <v>50</v>
      </c>
      <c r="T2" t="s">
        <v>49</v>
      </c>
      <c r="U2" t="s">
        <v>48</v>
      </c>
      <c r="V2" t="s">
        <v>51</v>
      </c>
      <c r="W2" t="s">
        <v>77</v>
      </c>
    </row>
    <row r="3" spans="2:23">
      <c r="C3" t="s">
        <v>18</v>
      </c>
      <c r="D3" s="1">
        <v>0</v>
      </c>
      <c r="E3" s="1">
        <v>40</v>
      </c>
      <c r="F3" s="1">
        <v>0</v>
      </c>
      <c r="G3" s="1">
        <v>62</v>
      </c>
      <c r="H3" s="1">
        <v>68</v>
      </c>
      <c r="I3" s="1">
        <v>0</v>
      </c>
      <c r="J3" s="1">
        <v>0</v>
      </c>
      <c r="K3" s="1">
        <v>0</v>
      </c>
      <c r="L3" s="1">
        <v>0</v>
      </c>
      <c r="M3" s="1">
        <v>36</v>
      </c>
      <c r="N3" s="1"/>
      <c r="O3" s="1"/>
      <c r="P3" s="1"/>
      <c r="Q3" s="1"/>
      <c r="R3" s="1"/>
      <c r="S3">
        <f>SUM(D3:R3)</f>
        <v>206</v>
      </c>
      <c r="T3">
        <f>COUNT(D3:R3)</f>
        <v>10</v>
      </c>
      <c r="U3">
        <f>COUNTIF(D3:R3,0)</f>
        <v>6</v>
      </c>
      <c r="V3">
        <f>T3-U3</f>
        <v>4</v>
      </c>
      <c r="W3">
        <f>S3/V3</f>
        <v>51.5</v>
      </c>
    </row>
    <row r="4" spans="2:23">
      <c r="C4" t="s">
        <v>31</v>
      </c>
      <c r="D4" s="1">
        <v>0</v>
      </c>
      <c r="E4" s="1">
        <v>0</v>
      </c>
      <c r="F4" s="1">
        <v>0</v>
      </c>
      <c r="G4" s="1">
        <v>0</v>
      </c>
      <c r="H4" s="1">
        <v>36</v>
      </c>
      <c r="I4" s="1">
        <v>30</v>
      </c>
      <c r="J4" s="1">
        <v>0</v>
      </c>
      <c r="K4" s="1">
        <v>0</v>
      </c>
      <c r="L4" s="1">
        <v>35</v>
      </c>
      <c r="M4" s="1">
        <v>33</v>
      </c>
      <c r="N4" s="1">
        <v>0</v>
      </c>
      <c r="O4" s="1">
        <v>37</v>
      </c>
      <c r="P4" s="1">
        <v>33</v>
      </c>
      <c r="Q4" s="1"/>
      <c r="R4" s="1"/>
      <c r="S4">
        <f t="shared" ref="S4:S12" si="0">SUM(D4:R4)</f>
        <v>204</v>
      </c>
      <c r="T4">
        <f t="shared" ref="T4:T12" si="1">COUNT(D4:R4)</f>
        <v>13</v>
      </c>
      <c r="U4">
        <f t="shared" ref="U4:U12" si="2">COUNTIF(D4:R4,0)</f>
        <v>7</v>
      </c>
      <c r="V4">
        <f t="shared" ref="V4:V12" si="3">T4-U4</f>
        <v>6</v>
      </c>
      <c r="W4">
        <f t="shared" ref="W4:W12" si="4">S4/V4</f>
        <v>34</v>
      </c>
    </row>
    <row r="5" spans="2:23">
      <c r="C5" t="s">
        <v>32</v>
      </c>
      <c r="D5" s="1">
        <v>0</v>
      </c>
      <c r="E5" s="1">
        <v>0</v>
      </c>
      <c r="F5" s="1">
        <v>27</v>
      </c>
      <c r="G5" s="1">
        <v>34</v>
      </c>
      <c r="H5" s="1">
        <v>32</v>
      </c>
      <c r="I5" s="1">
        <v>42</v>
      </c>
      <c r="J5" s="1">
        <v>35</v>
      </c>
      <c r="K5" s="1">
        <v>35</v>
      </c>
      <c r="L5" s="1"/>
      <c r="M5" s="1"/>
      <c r="N5" s="1"/>
      <c r="O5" s="1"/>
      <c r="P5" s="1"/>
      <c r="Q5" s="1"/>
      <c r="R5" s="1"/>
      <c r="S5">
        <f t="shared" si="0"/>
        <v>205</v>
      </c>
      <c r="T5">
        <f t="shared" si="1"/>
        <v>8</v>
      </c>
      <c r="U5">
        <f t="shared" si="2"/>
        <v>2</v>
      </c>
      <c r="V5">
        <f t="shared" si="3"/>
        <v>6</v>
      </c>
      <c r="W5">
        <f t="shared" si="4"/>
        <v>34.166666666666664</v>
      </c>
    </row>
    <row r="6" spans="2:23">
      <c r="C6" t="s">
        <v>33</v>
      </c>
      <c r="D6" s="1">
        <v>26</v>
      </c>
      <c r="E6" s="1">
        <v>39</v>
      </c>
      <c r="F6" s="1">
        <v>28</v>
      </c>
      <c r="G6" s="1">
        <v>0</v>
      </c>
      <c r="H6" s="1">
        <v>0</v>
      </c>
      <c r="I6" s="1">
        <v>36</v>
      </c>
      <c r="J6" s="1">
        <v>22</v>
      </c>
      <c r="K6" s="1">
        <v>30</v>
      </c>
      <c r="L6" s="1">
        <v>30</v>
      </c>
      <c r="M6" s="1"/>
      <c r="N6" s="1"/>
      <c r="O6" s="1"/>
      <c r="P6" s="1"/>
      <c r="Q6" s="1"/>
      <c r="R6" s="1"/>
      <c r="S6">
        <f t="shared" si="0"/>
        <v>211</v>
      </c>
      <c r="T6">
        <f t="shared" si="1"/>
        <v>9</v>
      </c>
      <c r="U6">
        <f t="shared" si="2"/>
        <v>2</v>
      </c>
      <c r="V6">
        <f t="shared" si="3"/>
        <v>7</v>
      </c>
      <c r="W6">
        <f t="shared" si="4"/>
        <v>30.142857142857142</v>
      </c>
    </row>
    <row r="7" spans="2:23">
      <c r="C7" t="s">
        <v>34</v>
      </c>
      <c r="D7" s="1">
        <v>31</v>
      </c>
      <c r="E7" s="1">
        <v>0</v>
      </c>
      <c r="F7" s="1">
        <v>0</v>
      </c>
      <c r="G7" s="1">
        <v>33</v>
      </c>
      <c r="H7" s="1">
        <v>29</v>
      </c>
      <c r="I7" s="1">
        <v>0</v>
      </c>
      <c r="J7" s="1">
        <v>28</v>
      </c>
      <c r="K7" s="1">
        <v>31</v>
      </c>
      <c r="L7" s="1">
        <v>34</v>
      </c>
      <c r="M7" s="1">
        <v>21</v>
      </c>
      <c r="N7" s="1"/>
      <c r="O7" s="1"/>
      <c r="P7" s="1"/>
      <c r="Q7" s="1"/>
      <c r="R7" s="1"/>
      <c r="S7">
        <f t="shared" si="0"/>
        <v>207</v>
      </c>
      <c r="T7">
        <f t="shared" si="1"/>
        <v>10</v>
      </c>
      <c r="U7">
        <f t="shared" si="2"/>
        <v>3</v>
      </c>
      <c r="V7">
        <f t="shared" si="3"/>
        <v>7</v>
      </c>
      <c r="W7">
        <f t="shared" si="4"/>
        <v>29.571428571428573</v>
      </c>
    </row>
    <row r="8" spans="2:23">
      <c r="C8" t="s">
        <v>35</v>
      </c>
      <c r="D8" s="1">
        <v>34</v>
      </c>
      <c r="E8" s="1">
        <v>33</v>
      </c>
      <c r="F8" s="1">
        <v>30</v>
      </c>
      <c r="G8" s="1">
        <v>34</v>
      </c>
      <c r="H8" s="1">
        <v>21</v>
      </c>
      <c r="I8" s="1">
        <v>0</v>
      </c>
      <c r="J8" s="1">
        <v>33</v>
      </c>
      <c r="K8" s="1">
        <v>24</v>
      </c>
      <c r="L8" s="1"/>
      <c r="M8" s="1"/>
      <c r="N8" s="1"/>
      <c r="O8" s="1"/>
      <c r="P8" s="1"/>
      <c r="Q8" s="1"/>
      <c r="R8" s="1"/>
      <c r="S8">
        <f t="shared" si="0"/>
        <v>209</v>
      </c>
      <c r="T8">
        <f t="shared" si="1"/>
        <v>8</v>
      </c>
      <c r="U8">
        <f t="shared" si="2"/>
        <v>1</v>
      </c>
      <c r="V8">
        <f t="shared" si="3"/>
        <v>7</v>
      </c>
      <c r="W8">
        <f t="shared" si="4"/>
        <v>29.857142857142858</v>
      </c>
    </row>
    <row r="9" spans="2:23">
      <c r="C9" t="s">
        <v>36</v>
      </c>
      <c r="D9" s="1">
        <v>0</v>
      </c>
      <c r="E9" s="1">
        <v>0</v>
      </c>
      <c r="F9" s="1">
        <v>26</v>
      </c>
      <c r="G9" s="1">
        <v>31</v>
      </c>
      <c r="H9" s="1">
        <v>0</v>
      </c>
      <c r="I9" s="1">
        <v>30</v>
      </c>
      <c r="J9" s="1">
        <v>27</v>
      </c>
      <c r="K9" s="1">
        <v>36</v>
      </c>
      <c r="L9" s="1">
        <v>26</v>
      </c>
      <c r="M9" s="1">
        <v>31</v>
      </c>
      <c r="N9" s="1"/>
      <c r="O9" s="1"/>
      <c r="P9" s="1"/>
      <c r="Q9" s="1"/>
      <c r="R9" s="1"/>
      <c r="S9">
        <f t="shared" si="0"/>
        <v>207</v>
      </c>
      <c r="T9">
        <f t="shared" si="1"/>
        <v>10</v>
      </c>
      <c r="U9">
        <f t="shared" si="2"/>
        <v>3</v>
      </c>
      <c r="V9">
        <f t="shared" si="3"/>
        <v>7</v>
      </c>
      <c r="W9">
        <f t="shared" si="4"/>
        <v>29.571428571428573</v>
      </c>
    </row>
    <row r="10" spans="2:23">
      <c r="C10" t="s">
        <v>37</v>
      </c>
      <c r="D10" s="1">
        <v>34</v>
      </c>
      <c r="E10" s="1">
        <v>38</v>
      </c>
      <c r="F10" s="1">
        <v>43</v>
      </c>
      <c r="G10" s="1">
        <v>0</v>
      </c>
      <c r="H10" s="1">
        <v>0</v>
      </c>
      <c r="I10" s="1">
        <v>40</v>
      </c>
      <c r="J10" s="1">
        <v>28</v>
      </c>
      <c r="K10" s="1">
        <v>0</v>
      </c>
      <c r="L10" s="1">
        <v>17</v>
      </c>
      <c r="M10" s="1"/>
      <c r="N10" s="1"/>
      <c r="O10" s="1"/>
      <c r="P10" s="1"/>
      <c r="Q10" s="1"/>
      <c r="R10" s="1"/>
      <c r="S10">
        <f t="shared" si="0"/>
        <v>200</v>
      </c>
      <c r="T10">
        <f t="shared" si="1"/>
        <v>9</v>
      </c>
      <c r="U10">
        <f t="shared" si="2"/>
        <v>3</v>
      </c>
      <c r="V10">
        <f t="shared" si="3"/>
        <v>6</v>
      </c>
      <c r="W10">
        <f t="shared" si="4"/>
        <v>33.333333333333336</v>
      </c>
    </row>
    <row r="11" spans="2:23">
      <c r="C11" t="s">
        <v>38</v>
      </c>
      <c r="D11" s="1">
        <v>38</v>
      </c>
      <c r="E11" s="1">
        <v>38</v>
      </c>
      <c r="F11" s="1">
        <v>24</v>
      </c>
      <c r="G11" s="1">
        <v>0</v>
      </c>
      <c r="H11" s="1">
        <v>63</v>
      </c>
      <c r="I11" s="1">
        <v>0</v>
      </c>
      <c r="J11" s="1">
        <v>0</v>
      </c>
      <c r="K11" s="1">
        <v>46</v>
      </c>
      <c r="L11" s="1"/>
      <c r="M11" s="1"/>
      <c r="N11" s="1"/>
      <c r="O11" s="1"/>
      <c r="P11" s="1"/>
      <c r="Q11" s="1"/>
      <c r="R11" s="1"/>
      <c r="S11">
        <f t="shared" si="0"/>
        <v>209</v>
      </c>
      <c r="T11">
        <f t="shared" si="1"/>
        <v>8</v>
      </c>
      <c r="U11">
        <f t="shared" si="2"/>
        <v>3</v>
      </c>
      <c r="V11">
        <f t="shared" si="3"/>
        <v>5</v>
      </c>
      <c r="W11">
        <f t="shared" si="4"/>
        <v>41.8</v>
      </c>
    </row>
    <row r="12" spans="2:23">
      <c r="C12" t="s">
        <v>39</v>
      </c>
      <c r="D12" s="1">
        <v>34</v>
      </c>
      <c r="E12" s="1">
        <v>0</v>
      </c>
      <c r="F12" s="1">
        <v>39</v>
      </c>
      <c r="G12" s="1">
        <v>46</v>
      </c>
      <c r="H12" s="1">
        <v>24</v>
      </c>
      <c r="I12" s="1">
        <v>0</v>
      </c>
      <c r="J12" s="1">
        <v>40</v>
      </c>
      <c r="K12" s="1">
        <v>25</v>
      </c>
      <c r="L12" s="1"/>
      <c r="M12" s="1"/>
      <c r="N12" s="1"/>
      <c r="O12" s="1"/>
      <c r="P12" s="1"/>
      <c r="Q12" s="1"/>
      <c r="R12" s="1"/>
      <c r="S12">
        <f t="shared" si="0"/>
        <v>208</v>
      </c>
      <c r="T12">
        <f t="shared" si="1"/>
        <v>8</v>
      </c>
      <c r="U12">
        <f t="shared" si="2"/>
        <v>2</v>
      </c>
      <c r="V12">
        <f t="shared" si="3"/>
        <v>6</v>
      </c>
      <c r="W12">
        <f t="shared" si="4"/>
        <v>34.666666666666664</v>
      </c>
    </row>
    <row r="13" spans="2:23">
      <c r="S13" t="s">
        <v>52</v>
      </c>
      <c r="T13">
        <f>AVERAGE(T3:T12)</f>
        <v>9.3000000000000007</v>
      </c>
      <c r="U13">
        <f t="shared" ref="U13:W13" si="5">AVERAGE(U3:U12)</f>
        <v>3.2</v>
      </c>
      <c r="V13">
        <f t="shared" si="5"/>
        <v>6.1</v>
      </c>
      <c r="W13">
        <f t="shared" si="5"/>
        <v>34.860952380952384</v>
      </c>
    </row>
  </sheetData>
  <conditionalFormatting sqref="D3:R12">
    <cfRule type="colorScale" priority="6">
      <colorScale>
        <cfvo type="min"/>
        <cfvo type="max"/>
        <color rgb="FFFF7128"/>
        <color theme="9"/>
      </colorScale>
    </cfRule>
    <cfRule type="cellIs" dxfId="18" priority="8" operator="equal">
      <formula>0</formula>
    </cfRule>
  </conditionalFormatting>
  <conditionalFormatting sqref="E7">
    <cfRule type="colorScale" priority="7">
      <colorScale>
        <cfvo type="min"/>
        <cfvo type="max"/>
        <color rgb="FFFF7128"/>
        <color theme="9"/>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49E33-793A-477D-90EF-ECE277C36B5D}">
  <dimension ref="B2:AB13"/>
  <sheetViews>
    <sheetView topLeftCell="G1" zoomScale="92" workbookViewId="0">
      <selection activeCell="N9" sqref="N9"/>
    </sheetView>
  </sheetViews>
  <sheetFormatPr defaultRowHeight="15"/>
  <cols>
    <col min="2" max="2" width="19.28515625" bestFit="1" customWidth="1"/>
    <col min="28" max="28" width="13.28515625" bestFit="1" customWidth="1"/>
  </cols>
  <sheetData>
    <row r="2" spans="2:28">
      <c r="B2" t="s">
        <v>55</v>
      </c>
      <c r="D2" t="s">
        <v>19</v>
      </c>
      <c r="E2" t="s">
        <v>20</v>
      </c>
      <c r="F2" t="s">
        <v>21</v>
      </c>
      <c r="G2" t="s">
        <v>22</v>
      </c>
      <c r="H2" t="s">
        <v>23</v>
      </c>
      <c r="I2" t="s">
        <v>24</v>
      </c>
      <c r="J2" t="s">
        <v>25</v>
      </c>
      <c r="K2" t="s">
        <v>26</v>
      </c>
      <c r="L2" t="s">
        <v>27</v>
      </c>
      <c r="M2" t="s">
        <v>28</v>
      </c>
      <c r="N2" t="s">
        <v>29</v>
      </c>
      <c r="O2" t="s">
        <v>30</v>
      </c>
      <c r="P2" t="s">
        <v>40</v>
      </c>
      <c r="Q2" t="s">
        <v>41</v>
      </c>
      <c r="R2" t="s">
        <v>42</v>
      </c>
      <c r="S2" t="s">
        <v>72</v>
      </c>
      <c r="T2" t="s">
        <v>73</v>
      </c>
      <c r="U2" t="s">
        <v>74</v>
      </c>
      <c r="V2" t="s">
        <v>75</v>
      </c>
      <c r="W2" t="s">
        <v>76</v>
      </c>
      <c r="X2" t="s">
        <v>50</v>
      </c>
      <c r="Y2" t="s">
        <v>49</v>
      </c>
      <c r="Z2" t="s">
        <v>48</v>
      </c>
      <c r="AA2" t="s">
        <v>51</v>
      </c>
      <c r="AB2" t="s">
        <v>77</v>
      </c>
    </row>
    <row r="3" spans="2:28">
      <c r="C3" t="s">
        <v>18</v>
      </c>
      <c r="D3" s="1">
        <v>21</v>
      </c>
      <c r="E3" s="1">
        <v>21</v>
      </c>
      <c r="F3" s="1">
        <v>11</v>
      </c>
      <c r="G3" s="1">
        <v>17</v>
      </c>
      <c r="H3" s="1">
        <v>24</v>
      </c>
      <c r="I3" s="1">
        <v>19</v>
      </c>
      <c r="J3" s="1">
        <v>24</v>
      </c>
      <c r="K3" s="1">
        <v>18</v>
      </c>
      <c r="L3" s="1">
        <v>17</v>
      </c>
      <c r="M3" s="1">
        <v>19</v>
      </c>
      <c r="N3" s="1">
        <v>21</v>
      </c>
      <c r="O3" s="1"/>
      <c r="P3" s="1"/>
      <c r="Q3" s="1"/>
      <c r="R3" s="1"/>
      <c r="S3" s="1"/>
      <c r="T3" s="1"/>
      <c r="U3" s="1"/>
      <c r="V3" s="1"/>
      <c r="W3" s="1"/>
      <c r="X3">
        <f>SUM(D3:W3)</f>
        <v>212</v>
      </c>
      <c r="Y3">
        <f>COUNT(D3:W3)</f>
        <v>11</v>
      </c>
      <c r="Z3">
        <f>COUNTIF(D3:W3,0)</f>
        <v>0</v>
      </c>
      <c r="AA3">
        <f>Y3-Z3</f>
        <v>11</v>
      </c>
      <c r="AB3">
        <f>X3/AA3</f>
        <v>19.272727272727273</v>
      </c>
    </row>
    <row r="4" spans="2:28">
      <c r="C4" t="s">
        <v>31</v>
      </c>
      <c r="D4" s="1">
        <v>0</v>
      </c>
      <c r="E4" s="1">
        <v>16</v>
      </c>
      <c r="F4" s="1">
        <v>15</v>
      </c>
      <c r="G4" s="1">
        <v>19</v>
      </c>
      <c r="H4" s="1">
        <v>15</v>
      </c>
      <c r="I4" s="1">
        <v>17</v>
      </c>
      <c r="J4" s="1">
        <v>23</v>
      </c>
      <c r="K4" s="1">
        <v>7</v>
      </c>
      <c r="L4" s="1">
        <v>7</v>
      </c>
      <c r="M4" s="1">
        <v>14</v>
      </c>
      <c r="N4" s="1">
        <v>15</v>
      </c>
      <c r="O4" s="1">
        <v>6</v>
      </c>
      <c r="P4" s="1">
        <v>17</v>
      </c>
      <c r="Q4" s="1">
        <v>16</v>
      </c>
      <c r="R4" s="1">
        <v>19</v>
      </c>
      <c r="S4" s="1"/>
      <c r="T4" s="1"/>
      <c r="U4" s="1"/>
      <c r="V4" s="1"/>
      <c r="W4" s="1"/>
      <c r="X4">
        <f t="shared" ref="X4:X12" si="0">SUM(D4:W4)</f>
        <v>206</v>
      </c>
      <c r="Y4">
        <f t="shared" ref="Y4:Y12" si="1">COUNT(D4:W4)</f>
        <v>15</v>
      </c>
      <c r="Z4">
        <f t="shared" ref="Z4:Z12" si="2">COUNTIF(D4:W4,0)</f>
        <v>1</v>
      </c>
      <c r="AA4">
        <f t="shared" ref="AA4:AA12" si="3">Y4-Z4</f>
        <v>14</v>
      </c>
      <c r="AB4">
        <f t="shared" ref="AB4:AB12" si="4">X4/AA4</f>
        <v>14.714285714285714</v>
      </c>
    </row>
    <row r="5" spans="2:28">
      <c r="C5" t="s">
        <v>32</v>
      </c>
      <c r="D5" s="1">
        <v>24</v>
      </c>
      <c r="E5" s="1">
        <v>19</v>
      </c>
      <c r="F5" s="1">
        <v>20</v>
      </c>
      <c r="G5" s="1">
        <v>17</v>
      </c>
      <c r="H5" s="1">
        <v>21</v>
      </c>
      <c r="I5" s="1">
        <v>0</v>
      </c>
      <c r="J5" s="1">
        <v>21</v>
      </c>
      <c r="K5" s="1">
        <v>22</v>
      </c>
      <c r="L5" s="1">
        <v>14</v>
      </c>
      <c r="M5" s="1">
        <v>21</v>
      </c>
      <c r="N5" s="1">
        <v>21</v>
      </c>
      <c r="O5" s="1"/>
      <c r="P5" s="1"/>
      <c r="Q5" s="1"/>
      <c r="R5" s="1"/>
      <c r="S5" s="1"/>
      <c r="T5" s="1"/>
      <c r="U5" s="1"/>
      <c r="V5" s="1"/>
      <c r="W5" s="1"/>
      <c r="X5">
        <f t="shared" si="0"/>
        <v>200</v>
      </c>
      <c r="Y5">
        <f t="shared" si="1"/>
        <v>11</v>
      </c>
      <c r="Z5">
        <f t="shared" si="2"/>
        <v>1</v>
      </c>
      <c r="AA5">
        <f t="shared" si="3"/>
        <v>10</v>
      </c>
      <c r="AB5">
        <f t="shared" si="4"/>
        <v>20</v>
      </c>
    </row>
    <row r="6" spans="2:28">
      <c r="C6" t="s">
        <v>33</v>
      </c>
      <c r="D6" s="1">
        <v>12</v>
      </c>
      <c r="E6" s="1">
        <v>12</v>
      </c>
      <c r="F6" s="1">
        <v>0</v>
      </c>
      <c r="G6" s="1">
        <v>13</v>
      </c>
      <c r="H6" s="1">
        <v>0</v>
      </c>
      <c r="I6" s="1">
        <v>0</v>
      </c>
      <c r="J6" s="1">
        <v>19</v>
      </c>
      <c r="K6" s="1">
        <v>13</v>
      </c>
      <c r="L6" s="1">
        <v>22</v>
      </c>
      <c r="M6" s="1">
        <v>24</v>
      </c>
      <c r="N6" s="1">
        <v>0</v>
      </c>
      <c r="O6" s="1">
        <v>23</v>
      </c>
      <c r="P6" s="1">
        <v>13</v>
      </c>
      <c r="Q6" s="1">
        <v>20</v>
      </c>
      <c r="R6" s="1">
        <v>22</v>
      </c>
      <c r="S6" s="1">
        <v>17</v>
      </c>
      <c r="T6" s="1"/>
      <c r="U6" s="1"/>
      <c r="V6" s="1"/>
      <c r="W6" s="1"/>
      <c r="X6">
        <f t="shared" si="0"/>
        <v>210</v>
      </c>
      <c r="Y6">
        <f t="shared" si="1"/>
        <v>16</v>
      </c>
      <c r="Z6">
        <f t="shared" si="2"/>
        <v>4</v>
      </c>
      <c r="AA6">
        <f t="shared" si="3"/>
        <v>12</v>
      </c>
      <c r="AB6">
        <f t="shared" si="4"/>
        <v>17.5</v>
      </c>
    </row>
    <row r="7" spans="2:28">
      <c r="C7" t="s">
        <v>34</v>
      </c>
      <c r="D7" s="1">
        <v>16</v>
      </c>
      <c r="E7" s="1">
        <v>21</v>
      </c>
      <c r="F7" s="1">
        <v>0</v>
      </c>
      <c r="G7" s="1">
        <v>22</v>
      </c>
      <c r="H7" s="1">
        <v>23</v>
      </c>
      <c r="I7" s="1">
        <v>21</v>
      </c>
      <c r="J7" s="1">
        <v>19</v>
      </c>
      <c r="K7" s="1">
        <v>7</v>
      </c>
      <c r="L7" s="1">
        <v>12</v>
      </c>
      <c r="M7" s="1">
        <v>18</v>
      </c>
      <c r="N7" s="1">
        <v>0</v>
      </c>
      <c r="O7" s="1">
        <v>20</v>
      </c>
      <c r="P7" s="1">
        <v>15</v>
      </c>
      <c r="Q7" s="1">
        <v>0</v>
      </c>
      <c r="R7" s="1">
        <v>11</v>
      </c>
      <c r="S7" s="1"/>
      <c r="T7" s="1"/>
      <c r="U7" s="1"/>
      <c r="V7" s="1"/>
      <c r="W7" s="1"/>
      <c r="X7">
        <f t="shared" si="0"/>
        <v>205</v>
      </c>
      <c r="Y7">
        <f t="shared" si="1"/>
        <v>15</v>
      </c>
      <c r="Z7">
        <f t="shared" si="2"/>
        <v>3</v>
      </c>
      <c r="AA7">
        <f t="shared" si="3"/>
        <v>12</v>
      </c>
      <c r="AB7">
        <f t="shared" si="4"/>
        <v>17.083333333333332</v>
      </c>
    </row>
    <row r="8" spans="2:28">
      <c r="C8" t="s">
        <v>35</v>
      </c>
      <c r="D8" s="1">
        <v>20</v>
      </c>
      <c r="E8" s="1">
        <v>17</v>
      </c>
      <c r="F8" s="1">
        <v>18</v>
      </c>
      <c r="G8" s="1">
        <v>16</v>
      </c>
      <c r="H8" s="1">
        <v>25</v>
      </c>
      <c r="I8" s="1">
        <v>10</v>
      </c>
      <c r="J8" s="1">
        <v>23</v>
      </c>
      <c r="K8" s="1">
        <v>15</v>
      </c>
      <c r="L8" s="1">
        <v>0</v>
      </c>
      <c r="M8" s="1">
        <v>15</v>
      </c>
      <c r="N8" s="1">
        <v>25</v>
      </c>
      <c r="O8" s="1">
        <v>18</v>
      </c>
      <c r="P8" s="1"/>
      <c r="Q8" s="1"/>
      <c r="R8" s="1"/>
      <c r="S8" s="1"/>
      <c r="T8" s="1"/>
      <c r="U8" s="1"/>
      <c r="V8" s="1"/>
      <c r="W8" s="1"/>
      <c r="X8">
        <f t="shared" si="0"/>
        <v>202</v>
      </c>
      <c r="Y8">
        <f t="shared" si="1"/>
        <v>12</v>
      </c>
      <c r="Z8">
        <f t="shared" si="2"/>
        <v>1</v>
      </c>
      <c r="AA8">
        <f t="shared" si="3"/>
        <v>11</v>
      </c>
      <c r="AB8">
        <f t="shared" si="4"/>
        <v>18.363636363636363</v>
      </c>
    </row>
    <row r="9" spans="2:28">
      <c r="C9" t="s">
        <v>36</v>
      </c>
      <c r="D9" s="1">
        <v>24</v>
      </c>
      <c r="E9" s="1">
        <v>18</v>
      </c>
      <c r="F9" s="1">
        <v>24</v>
      </c>
      <c r="G9" s="1">
        <v>21</v>
      </c>
      <c r="H9" s="1">
        <v>23</v>
      </c>
      <c r="I9" s="1">
        <v>12</v>
      </c>
      <c r="J9" s="1">
        <v>14</v>
      </c>
      <c r="K9" s="1">
        <v>22</v>
      </c>
      <c r="L9" s="1">
        <v>24</v>
      </c>
      <c r="M9" s="1">
        <v>21</v>
      </c>
      <c r="N9" s="1"/>
      <c r="O9" s="1"/>
      <c r="P9" s="1"/>
      <c r="Q9" s="1"/>
      <c r="R9" s="1"/>
      <c r="S9" s="1"/>
      <c r="T9" s="1"/>
      <c r="U9" s="1"/>
      <c r="V9" s="1"/>
      <c r="W9" s="1"/>
      <c r="X9">
        <f t="shared" si="0"/>
        <v>203</v>
      </c>
      <c r="Y9">
        <f t="shared" si="1"/>
        <v>10</v>
      </c>
      <c r="Z9">
        <f t="shared" si="2"/>
        <v>0</v>
      </c>
      <c r="AA9">
        <f t="shared" si="3"/>
        <v>10</v>
      </c>
      <c r="AB9">
        <f t="shared" si="4"/>
        <v>20.3</v>
      </c>
    </row>
    <row r="10" spans="2:28">
      <c r="C10" t="s">
        <v>37</v>
      </c>
      <c r="D10" s="1">
        <v>21</v>
      </c>
      <c r="E10" s="1">
        <v>22</v>
      </c>
      <c r="F10" s="1">
        <v>16</v>
      </c>
      <c r="G10" s="1">
        <v>16</v>
      </c>
      <c r="H10" s="1">
        <v>13</v>
      </c>
      <c r="I10" s="1">
        <v>22</v>
      </c>
      <c r="J10" s="1">
        <v>26</v>
      </c>
      <c r="K10" s="1">
        <v>12</v>
      </c>
      <c r="L10" s="1">
        <v>23</v>
      </c>
      <c r="M10" s="1">
        <v>23</v>
      </c>
      <c r="N10" s="1">
        <v>7</v>
      </c>
      <c r="O10" s="1"/>
      <c r="P10" s="1"/>
      <c r="Q10" s="1"/>
      <c r="R10" s="1"/>
      <c r="S10" s="1"/>
      <c r="T10" s="1"/>
      <c r="U10" s="1"/>
      <c r="V10" s="1"/>
      <c r="W10" s="1"/>
      <c r="X10">
        <f t="shared" si="0"/>
        <v>201</v>
      </c>
      <c r="Y10">
        <f t="shared" si="1"/>
        <v>11</v>
      </c>
      <c r="Z10">
        <f t="shared" si="2"/>
        <v>0</v>
      </c>
      <c r="AA10">
        <f t="shared" si="3"/>
        <v>11</v>
      </c>
      <c r="AB10">
        <f t="shared" si="4"/>
        <v>18.272727272727273</v>
      </c>
    </row>
    <row r="11" spans="2:28">
      <c r="C11" t="s">
        <v>38</v>
      </c>
      <c r="D11" s="1">
        <v>24</v>
      </c>
      <c r="E11" s="1">
        <v>0</v>
      </c>
      <c r="F11" s="1">
        <v>21</v>
      </c>
      <c r="G11" s="1">
        <v>18</v>
      </c>
      <c r="H11" s="1">
        <v>19</v>
      </c>
      <c r="I11" s="1">
        <v>19</v>
      </c>
      <c r="J11" s="1">
        <v>7</v>
      </c>
      <c r="K11" s="1">
        <v>12</v>
      </c>
      <c r="L11" s="1">
        <v>0</v>
      </c>
      <c r="M11" s="1">
        <v>0</v>
      </c>
      <c r="N11" s="1">
        <v>21</v>
      </c>
      <c r="O11" s="1">
        <v>13</v>
      </c>
      <c r="P11" s="1">
        <v>23</v>
      </c>
      <c r="Q11" s="1">
        <v>21</v>
      </c>
      <c r="R11" s="1">
        <v>11</v>
      </c>
      <c r="S11" s="1"/>
      <c r="T11" s="1"/>
      <c r="U11" s="1"/>
      <c r="V11" s="1"/>
      <c r="W11" s="1"/>
      <c r="X11">
        <f t="shared" si="0"/>
        <v>209</v>
      </c>
      <c r="Y11">
        <f t="shared" si="1"/>
        <v>15</v>
      </c>
      <c r="Z11">
        <f t="shared" si="2"/>
        <v>3</v>
      </c>
      <c r="AA11">
        <f t="shared" si="3"/>
        <v>12</v>
      </c>
      <c r="AB11">
        <f t="shared" si="4"/>
        <v>17.416666666666668</v>
      </c>
    </row>
    <row r="12" spans="2:28">
      <c r="C12" t="s">
        <v>39</v>
      </c>
      <c r="D12" s="1">
        <v>18</v>
      </c>
      <c r="E12" s="1">
        <v>17</v>
      </c>
      <c r="F12" s="1">
        <v>19</v>
      </c>
      <c r="G12" s="1">
        <v>0</v>
      </c>
      <c r="H12" s="1">
        <v>0</v>
      </c>
      <c r="I12" s="1">
        <v>20</v>
      </c>
      <c r="J12" s="1">
        <v>13</v>
      </c>
      <c r="K12" s="1">
        <v>22</v>
      </c>
      <c r="L12" s="1">
        <v>22</v>
      </c>
      <c r="M12" s="1">
        <v>15</v>
      </c>
      <c r="N12" s="1">
        <v>17</v>
      </c>
      <c r="O12" s="1">
        <v>0</v>
      </c>
      <c r="P12" s="1">
        <v>17</v>
      </c>
      <c r="Q12" s="1">
        <v>17</v>
      </c>
      <c r="R12" s="1">
        <v>23</v>
      </c>
      <c r="S12" s="1"/>
      <c r="T12" s="1"/>
      <c r="U12" s="1"/>
      <c r="V12" s="1"/>
      <c r="W12" s="1"/>
      <c r="X12">
        <f t="shared" si="0"/>
        <v>220</v>
      </c>
      <c r="Y12">
        <f t="shared" si="1"/>
        <v>15</v>
      </c>
      <c r="Z12">
        <f t="shared" si="2"/>
        <v>3</v>
      </c>
      <c r="AA12">
        <f t="shared" si="3"/>
        <v>12</v>
      </c>
      <c r="AB12">
        <f t="shared" si="4"/>
        <v>18.333333333333332</v>
      </c>
    </row>
    <row r="13" spans="2:28">
      <c r="X13" t="s">
        <v>52</v>
      </c>
      <c r="Y13">
        <f>AVERAGE(Y3:Y12)</f>
        <v>13.1</v>
      </c>
      <c r="Z13">
        <f t="shared" ref="Z13:AB13" si="5">AVERAGE(Z3:Z12)</f>
        <v>1.6</v>
      </c>
      <c r="AA13">
        <f t="shared" si="5"/>
        <v>11.5</v>
      </c>
      <c r="AB13">
        <f t="shared" si="5"/>
        <v>18.125670995670994</v>
      </c>
    </row>
  </sheetData>
  <phoneticPr fontId="3" type="noConversion"/>
  <conditionalFormatting sqref="D3:W12">
    <cfRule type="colorScale" priority="1">
      <colorScale>
        <cfvo type="min"/>
        <cfvo type="max"/>
        <color rgb="FFFF7128"/>
        <color theme="9"/>
      </colorScale>
    </cfRule>
    <cfRule type="cellIs" dxfId="17" priority="3" operator="equal">
      <formula>0</formula>
    </cfRule>
  </conditionalFormatting>
  <conditionalFormatting sqref="E7 T7 T3">
    <cfRule type="colorScale" priority="2">
      <colorScale>
        <cfvo type="min"/>
        <cfvo type="max"/>
        <color rgb="FFFF7128"/>
        <color theme="9"/>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53E71-B9FC-4132-971A-4DB881BD4AC6}">
  <dimension ref="B2:W13"/>
  <sheetViews>
    <sheetView topLeftCell="C2" workbookViewId="0">
      <selection activeCell="V17" sqref="V17"/>
    </sheetView>
  </sheetViews>
  <sheetFormatPr defaultRowHeight="15"/>
  <cols>
    <col min="2" max="2" width="19.28515625" bestFit="1" customWidth="1"/>
  </cols>
  <sheetData>
    <row r="2" spans="2:23">
      <c r="B2" t="s">
        <v>56</v>
      </c>
      <c r="D2" t="s">
        <v>19</v>
      </c>
      <c r="E2" t="s">
        <v>20</v>
      </c>
      <c r="F2" t="s">
        <v>21</v>
      </c>
      <c r="G2" t="s">
        <v>22</v>
      </c>
      <c r="H2" t="s">
        <v>23</v>
      </c>
      <c r="I2" t="s">
        <v>24</v>
      </c>
      <c r="J2" t="s">
        <v>25</v>
      </c>
      <c r="K2" t="s">
        <v>26</v>
      </c>
      <c r="L2" t="s">
        <v>27</v>
      </c>
      <c r="M2" t="s">
        <v>28</v>
      </c>
      <c r="N2" t="s">
        <v>29</v>
      </c>
      <c r="O2" t="s">
        <v>30</v>
      </c>
      <c r="P2" t="s">
        <v>40</v>
      </c>
      <c r="Q2" t="s">
        <v>41</v>
      </c>
      <c r="R2" t="s">
        <v>42</v>
      </c>
      <c r="S2" t="s">
        <v>50</v>
      </c>
      <c r="T2" t="s">
        <v>49</v>
      </c>
      <c r="U2" t="s">
        <v>48</v>
      </c>
      <c r="V2" t="s">
        <v>51</v>
      </c>
      <c r="W2" t="s">
        <v>77</v>
      </c>
    </row>
    <row r="3" spans="2:23">
      <c r="C3" t="s">
        <v>18</v>
      </c>
      <c r="D3" s="1">
        <v>30</v>
      </c>
      <c r="E3" s="1">
        <v>28</v>
      </c>
      <c r="F3" s="1">
        <v>15</v>
      </c>
      <c r="G3" s="1">
        <v>0</v>
      </c>
      <c r="H3" s="1">
        <v>30</v>
      </c>
      <c r="I3" s="1">
        <v>30</v>
      </c>
      <c r="J3" s="1">
        <v>31</v>
      </c>
      <c r="K3" s="1">
        <v>24</v>
      </c>
      <c r="L3" s="1">
        <v>28</v>
      </c>
      <c r="M3" s="1"/>
      <c r="N3" s="1"/>
      <c r="O3" s="1"/>
      <c r="P3" s="1"/>
      <c r="Q3" s="1"/>
      <c r="R3" s="1"/>
      <c r="S3">
        <f>SUM(D3:R3)</f>
        <v>216</v>
      </c>
      <c r="T3">
        <f>COUNT(D3:R3)</f>
        <v>9</v>
      </c>
      <c r="U3">
        <f>COUNTIF(D3:R3,0)</f>
        <v>1</v>
      </c>
      <c r="V3">
        <f>T3-U3</f>
        <v>8</v>
      </c>
      <c r="W3">
        <f>S3/V3</f>
        <v>27</v>
      </c>
    </row>
    <row r="4" spans="2:23">
      <c r="C4" t="s">
        <v>31</v>
      </c>
      <c r="D4" s="1">
        <v>28</v>
      </c>
      <c r="E4" s="1">
        <v>30</v>
      </c>
      <c r="F4" s="1">
        <v>32</v>
      </c>
      <c r="G4" s="1">
        <v>33</v>
      </c>
      <c r="H4" s="1">
        <v>0</v>
      </c>
      <c r="I4" s="1">
        <v>0</v>
      </c>
      <c r="J4" s="1">
        <v>24</v>
      </c>
      <c r="K4" s="1">
        <v>0</v>
      </c>
      <c r="L4" s="1">
        <v>26</v>
      </c>
      <c r="M4" s="1">
        <v>23</v>
      </c>
      <c r="N4" s="1">
        <v>30</v>
      </c>
      <c r="O4" s="1"/>
      <c r="P4" s="1"/>
      <c r="Q4" s="1"/>
      <c r="R4" s="1"/>
      <c r="S4">
        <f t="shared" ref="S4:S12" si="0">SUM(D4:R4)</f>
        <v>226</v>
      </c>
      <c r="T4">
        <f t="shared" ref="T4:T12" si="1">COUNT(D4:R4)</f>
        <v>11</v>
      </c>
      <c r="U4">
        <f t="shared" ref="U4:U12" si="2">COUNTIF(D4:R4,0)</f>
        <v>3</v>
      </c>
      <c r="V4">
        <f t="shared" ref="V4:V12" si="3">T4-U4</f>
        <v>8</v>
      </c>
      <c r="W4">
        <f t="shared" ref="W4:W12" si="4">S4/V4</f>
        <v>28.25</v>
      </c>
    </row>
    <row r="5" spans="2:23">
      <c r="C5" t="s">
        <v>32</v>
      </c>
      <c r="D5" s="1">
        <v>0</v>
      </c>
      <c r="E5" s="1">
        <v>32</v>
      </c>
      <c r="F5" s="1">
        <v>0</v>
      </c>
      <c r="G5" s="1">
        <v>0</v>
      </c>
      <c r="H5" s="1">
        <v>30</v>
      </c>
      <c r="I5" s="1">
        <v>26</v>
      </c>
      <c r="J5" s="1">
        <v>24</v>
      </c>
      <c r="K5" s="1">
        <v>23</v>
      </c>
      <c r="L5" s="1">
        <v>14</v>
      </c>
      <c r="M5" s="1">
        <v>0</v>
      </c>
      <c r="N5" s="1">
        <v>0</v>
      </c>
      <c r="O5" s="1">
        <v>30</v>
      </c>
      <c r="P5" s="1">
        <v>22</v>
      </c>
      <c r="Q5" s="1"/>
      <c r="R5" s="1"/>
      <c r="S5">
        <f t="shared" si="0"/>
        <v>201</v>
      </c>
      <c r="T5">
        <f t="shared" si="1"/>
        <v>13</v>
      </c>
      <c r="U5">
        <f t="shared" si="2"/>
        <v>5</v>
      </c>
      <c r="V5">
        <f t="shared" si="3"/>
        <v>8</v>
      </c>
      <c r="W5">
        <f t="shared" si="4"/>
        <v>25.125</v>
      </c>
    </row>
    <row r="6" spans="2:23">
      <c r="C6" t="s">
        <v>33</v>
      </c>
      <c r="D6" s="1">
        <v>18</v>
      </c>
      <c r="E6" s="1">
        <v>29</v>
      </c>
      <c r="F6" s="1">
        <v>29</v>
      </c>
      <c r="G6" s="1">
        <v>18</v>
      </c>
      <c r="H6" s="1">
        <v>25</v>
      </c>
      <c r="I6" s="1">
        <v>0</v>
      </c>
      <c r="J6" s="1">
        <v>0</v>
      </c>
      <c r="K6" s="1">
        <v>20</v>
      </c>
      <c r="L6" s="1">
        <v>0</v>
      </c>
      <c r="M6" s="1">
        <v>35</v>
      </c>
      <c r="N6" s="1">
        <v>20</v>
      </c>
      <c r="O6" s="1">
        <v>25</v>
      </c>
      <c r="P6" s="1"/>
      <c r="Q6" s="1"/>
      <c r="R6" s="1"/>
      <c r="S6">
        <f t="shared" si="0"/>
        <v>219</v>
      </c>
      <c r="T6">
        <f t="shared" si="1"/>
        <v>12</v>
      </c>
      <c r="U6">
        <f t="shared" si="2"/>
        <v>3</v>
      </c>
      <c r="V6">
        <f t="shared" si="3"/>
        <v>9</v>
      </c>
      <c r="W6">
        <f t="shared" si="4"/>
        <v>24.333333333333332</v>
      </c>
    </row>
    <row r="7" spans="2:23">
      <c r="C7" t="s">
        <v>34</v>
      </c>
      <c r="D7" s="1">
        <v>23</v>
      </c>
      <c r="E7" s="1">
        <v>25</v>
      </c>
      <c r="F7" s="1">
        <v>15</v>
      </c>
      <c r="G7" s="1">
        <v>33</v>
      </c>
      <c r="H7" s="1">
        <v>33</v>
      </c>
      <c r="I7" s="1">
        <v>28</v>
      </c>
      <c r="J7" s="1">
        <v>20</v>
      </c>
      <c r="K7" s="1">
        <v>0</v>
      </c>
      <c r="L7" s="1">
        <v>15</v>
      </c>
      <c r="M7" s="1">
        <v>25</v>
      </c>
      <c r="N7" s="1"/>
      <c r="O7" s="1"/>
      <c r="P7" s="1"/>
      <c r="Q7" s="1"/>
      <c r="R7" s="1"/>
      <c r="S7">
        <f t="shared" si="0"/>
        <v>217</v>
      </c>
      <c r="T7">
        <f t="shared" si="1"/>
        <v>10</v>
      </c>
      <c r="U7">
        <f t="shared" si="2"/>
        <v>1</v>
      </c>
      <c r="V7">
        <f t="shared" si="3"/>
        <v>9</v>
      </c>
      <c r="W7">
        <f t="shared" si="4"/>
        <v>24.111111111111111</v>
      </c>
    </row>
    <row r="8" spans="2:23">
      <c r="C8" t="s">
        <v>35</v>
      </c>
      <c r="D8" s="1">
        <v>10</v>
      </c>
      <c r="E8" s="1">
        <v>26</v>
      </c>
      <c r="F8" s="1">
        <v>31</v>
      </c>
      <c r="G8" s="1">
        <v>37</v>
      </c>
      <c r="H8" s="1">
        <v>0</v>
      </c>
      <c r="I8" s="1">
        <v>19</v>
      </c>
      <c r="J8" s="1">
        <v>0</v>
      </c>
      <c r="K8" s="1">
        <v>24</v>
      </c>
      <c r="L8" s="1">
        <v>26</v>
      </c>
      <c r="M8" s="1">
        <v>24</v>
      </c>
      <c r="N8" s="1">
        <v>25</v>
      </c>
      <c r="O8" s="1"/>
      <c r="P8" s="1"/>
      <c r="Q8" s="1"/>
      <c r="R8" s="1"/>
      <c r="S8">
        <f t="shared" si="0"/>
        <v>222</v>
      </c>
      <c r="T8">
        <f t="shared" si="1"/>
        <v>11</v>
      </c>
      <c r="U8">
        <f t="shared" si="2"/>
        <v>2</v>
      </c>
      <c r="V8">
        <f t="shared" si="3"/>
        <v>9</v>
      </c>
      <c r="W8">
        <f t="shared" si="4"/>
        <v>24.666666666666668</v>
      </c>
    </row>
    <row r="9" spans="2:23">
      <c r="C9" t="s">
        <v>36</v>
      </c>
      <c r="D9" s="1">
        <v>23</v>
      </c>
      <c r="E9" s="1">
        <v>25</v>
      </c>
      <c r="F9" s="1">
        <v>0</v>
      </c>
      <c r="G9" s="1">
        <v>27</v>
      </c>
      <c r="H9" s="1">
        <v>25</v>
      </c>
      <c r="I9" s="1">
        <v>0</v>
      </c>
      <c r="J9" s="1">
        <v>31</v>
      </c>
      <c r="K9" s="1">
        <v>0</v>
      </c>
      <c r="L9" s="1">
        <v>33</v>
      </c>
      <c r="M9" s="1">
        <v>26</v>
      </c>
      <c r="N9" s="1">
        <v>0</v>
      </c>
      <c r="O9" s="1">
        <v>0</v>
      </c>
      <c r="P9" s="1">
        <v>26</v>
      </c>
      <c r="Q9" s="1"/>
      <c r="R9" s="1"/>
      <c r="S9">
        <f t="shared" si="0"/>
        <v>216</v>
      </c>
      <c r="T9">
        <f t="shared" si="1"/>
        <v>13</v>
      </c>
      <c r="U9">
        <f t="shared" si="2"/>
        <v>5</v>
      </c>
      <c r="V9">
        <f t="shared" si="3"/>
        <v>8</v>
      </c>
      <c r="W9">
        <f t="shared" si="4"/>
        <v>27</v>
      </c>
    </row>
    <row r="10" spans="2:23">
      <c r="C10" t="s">
        <v>37</v>
      </c>
      <c r="D10" s="1">
        <v>0</v>
      </c>
      <c r="E10" s="1">
        <v>28</v>
      </c>
      <c r="F10" s="1">
        <v>0</v>
      </c>
      <c r="G10" s="1">
        <v>32</v>
      </c>
      <c r="H10" s="1">
        <v>31</v>
      </c>
      <c r="I10" s="1">
        <v>30</v>
      </c>
      <c r="J10" s="1">
        <v>25</v>
      </c>
      <c r="K10" s="1">
        <v>0</v>
      </c>
      <c r="L10" s="1">
        <v>25</v>
      </c>
      <c r="M10" s="1">
        <v>0</v>
      </c>
      <c r="N10" s="1">
        <v>35</v>
      </c>
      <c r="O10" s="1"/>
      <c r="P10" s="1"/>
      <c r="Q10" s="1"/>
      <c r="R10" s="1"/>
      <c r="S10">
        <f t="shared" si="0"/>
        <v>206</v>
      </c>
      <c r="T10">
        <f t="shared" si="1"/>
        <v>11</v>
      </c>
      <c r="U10">
        <f t="shared" si="2"/>
        <v>4</v>
      </c>
      <c r="V10">
        <f t="shared" si="3"/>
        <v>7</v>
      </c>
      <c r="W10">
        <f t="shared" si="4"/>
        <v>29.428571428571427</v>
      </c>
    </row>
    <row r="11" spans="2:23">
      <c r="C11" t="s">
        <v>38</v>
      </c>
      <c r="D11" s="1">
        <v>27</v>
      </c>
      <c r="E11" s="1">
        <v>33</v>
      </c>
      <c r="F11" s="1">
        <v>21</v>
      </c>
      <c r="G11" s="1">
        <v>27</v>
      </c>
      <c r="H11" s="1">
        <v>0</v>
      </c>
      <c r="I11" s="1">
        <v>0</v>
      </c>
      <c r="J11" s="1">
        <v>31</v>
      </c>
      <c r="K11" s="1">
        <v>32</v>
      </c>
      <c r="L11" s="1">
        <v>30</v>
      </c>
      <c r="M11" s="1"/>
      <c r="N11" s="1"/>
      <c r="O11" s="1"/>
      <c r="P11" s="1"/>
      <c r="Q11" s="1"/>
      <c r="R11" s="1"/>
      <c r="S11">
        <f t="shared" si="0"/>
        <v>201</v>
      </c>
      <c r="T11">
        <f t="shared" si="1"/>
        <v>9</v>
      </c>
      <c r="U11">
        <f t="shared" si="2"/>
        <v>2</v>
      </c>
      <c r="V11">
        <f t="shared" si="3"/>
        <v>7</v>
      </c>
      <c r="W11">
        <f t="shared" si="4"/>
        <v>28.714285714285715</v>
      </c>
    </row>
    <row r="12" spans="2:23">
      <c r="C12" t="s">
        <v>39</v>
      </c>
      <c r="D12" s="1">
        <v>26</v>
      </c>
      <c r="E12" s="1">
        <v>28</v>
      </c>
      <c r="F12" s="1">
        <v>24</v>
      </c>
      <c r="G12" s="1">
        <v>0</v>
      </c>
      <c r="H12" s="1">
        <v>32</v>
      </c>
      <c r="I12" s="1">
        <v>35</v>
      </c>
      <c r="J12" s="1">
        <v>18</v>
      </c>
      <c r="K12" s="1">
        <v>22</v>
      </c>
      <c r="L12" s="1">
        <v>7</v>
      </c>
      <c r="M12" s="1">
        <v>24</v>
      </c>
      <c r="N12" s="1"/>
      <c r="O12" s="1"/>
      <c r="P12" s="1"/>
      <c r="Q12" s="1"/>
      <c r="R12" s="1"/>
      <c r="S12">
        <f t="shared" si="0"/>
        <v>216</v>
      </c>
      <c r="T12">
        <f t="shared" si="1"/>
        <v>10</v>
      </c>
      <c r="U12">
        <f t="shared" si="2"/>
        <v>1</v>
      </c>
      <c r="V12">
        <f t="shared" si="3"/>
        <v>9</v>
      </c>
      <c r="W12">
        <f t="shared" si="4"/>
        <v>24</v>
      </c>
    </row>
    <row r="13" spans="2:23">
      <c r="S13" t="s">
        <v>52</v>
      </c>
      <c r="T13">
        <f>AVERAGE(T3:T12)</f>
        <v>10.9</v>
      </c>
      <c r="U13">
        <f t="shared" ref="U13:W13" si="5">AVERAGE(U3:U12)</f>
        <v>2.7</v>
      </c>
      <c r="V13">
        <f t="shared" si="5"/>
        <v>8.1999999999999993</v>
      </c>
      <c r="W13">
        <f t="shared" si="5"/>
        <v>26.262896825396819</v>
      </c>
    </row>
  </sheetData>
  <conditionalFormatting sqref="D3:R12">
    <cfRule type="colorScale" priority="6">
      <colorScale>
        <cfvo type="min"/>
        <cfvo type="max"/>
        <color rgb="FFFF7128"/>
        <color theme="9"/>
      </colorScale>
    </cfRule>
    <cfRule type="cellIs" dxfId="16" priority="8" operator="equal">
      <formula>0</formula>
    </cfRule>
  </conditionalFormatting>
  <conditionalFormatting sqref="E7">
    <cfRule type="colorScale" priority="7">
      <colorScale>
        <cfvo type="min"/>
        <cfvo type="max"/>
        <color rgb="FFFF7128"/>
        <color theme="9"/>
      </colorScale>
    </cfRule>
  </conditionalFormatting>
  <conditionalFormatting sqref="U3:U12">
    <cfRule type="colorScale" priority="2">
      <colorScale>
        <cfvo type="min"/>
        <cfvo type="percentile" val="50"/>
        <cfvo type="max"/>
        <color theme="9"/>
        <color rgb="FFFFEB84"/>
        <color rgb="FFFF0000"/>
      </colorScale>
    </cfRule>
  </conditionalFormatting>
  <conditionalFormatting sqref="W3:W12">
    <cfRule type="colorScale" priority="3">
      <colorScale>
        <cfvo type="min"/>
        <cfvo type="percentile" val="50"/>
        <cfvo type="max"/>
        <color rgb="FFFF7128"/>
        <color rgb="FFFFEB84"/>
        <color theme="9"/>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AF274-743C-417B-B7CD-1375C60FCC41}">
  <dimension ref="B2:AB13"/>
  <sheetViews>
    <sheetView topLeftCell="D1" workbookViewId="0">
      <selection activeCell="M12" sqref="M12"/>
    </sheetView>
  </sheetViews>
  <sheetFormatPr defaultRowHeight="15"/>
  <sheetData>
    <row r="2" spans="2:28">
      <c r="B2" t="s">
        <v>57</v>
      </c>
      <c r="D2" t="s">
        <v>19</v>
      </c>
      <c r="E2" t="s">
        <v>20</v>
      </c>
      <c r="F2" t="s">
        <v>21</v>
      </c>
      <c r="G2" t="s">
        <v>22</v>
      </c>
      <c r="H2" t="s">
        <v>23</v>
      </c>
      <c r="I2" t="s">
        <v>24</v>
      </c>
      <c r="J2" t="s">
        <v>25</v>
      </c>
      <c r="K2" t="s">
        <v>26</v>
      </c>
      <c r="L2" t="s">
        <v>27</v>
      </c>
      <c r="M2" t="s">
        <v>28</v>
      </c>
      <c r="N2" t="s">
        <v>29</v>
      </c>
      <c r="O2" t="s">
        <v>30</v>
      </c>
      <c r="P2" t="s">
        <v>40</v>
      </c>
      <c r="Q2" t="s">
        <v>41</v>
      </c>
      <c r="R2" t="s">
        <v>42</v>
      </c>
      <c r="S2" t="s">
        <v>72</v>
      </c>
      <c r="T2" t="s">
        <v>73</v>
      </c>
      <c r="U2" t="s">
        <v>74</v>
      </c>
      <c r="V2" t="s">
        <v>75</v>
      </c>
      <c r="W2" t="s">
        <v>76</v>
      </c>
      <c r="X2" t="s">
        <v>50</v>
      </c>
      <c r="Y2" t="s">
        <v>49</v>
      </c>
      <c r="Z2" t="s">
        <v>48</v>
      </c>
      <c r="AA2" t="s">
        <v>51</v>
      </c>
      <c r="AB2" t="s">
        <v>77</v>
      </c>
    </row>
    <row r="3" spans="2:28">
      <c r="C3" t="s">
        <v>18</v>
      </c>
      <c r="D3" s="1">
        <v>46</v>
      </c>
      <c r="E3" s="1">
        <v>29</v>
      </c>
      <c r="F3" s="1">
        <v>0</v>
      </c>
      <c r="G3" s="1">
        <v>26</v>
      </c>
      <c r="H3" s="1">
        <v>35</v>
      </c>
      <c r="I3" s="1">
        <v>40</v>
      </c>
      <c r="J3" s="1">
        <v>0</v>
      </c>
      <c r="K3" s="1">
        <v>0</v>
      </c>
      <c r="L3" s="1">
        <v>0</v>
      </c>
      <c r="M3" s="1">
        <v>39</v>
      </c>
      <c r="N3" s="1"/>
      <c r="O3" s="1"/>
      <c r="P3" s="1"/>
      <c r="Q3" s="1"/>
      <c r="R3" s="1"/>
      <c r="S3" s="1"/>
      <c r="T3" s="1"/>
      <c r="U3" s="1"/>
      <c r="V3" s="1"/>
      <c r="W3" s="1"/>
      <c r="X3">
        <f>SUM(D3:W3)</f>
        <v>215</v>
      </c>
      <c r="Y3">
        <f>COUNT(D3:W3)</f>
        <v>10</v>
      </c>
      <c r="Z3">
        <f>COUNTIF(D3:W3,0)</f>
        <v>4</v>
      </c>
      <c r="AA3">
        <f>Y3-Z3</f>
        <v>6</v>
      </c>
      <c r="AB3">
        <f>X3/AA3</f>
        <v>35.833333333333336</v>
      </c>
    </row>
    <row r="4" spans="2:28">
      <c r="C4" t="s">
        <v>31</v>
      </c>
      <c r="D4" s="1">
        <v>0</v>
      </c>
      <c r="E4" s="1">
        <v>0</v>
      </c>
      <c r="F4" s="1">
        <v>32</v>
      </c>
      <c r="G4" s="1">
        <v>28</v>
      </c>
      <c r="H4" s="1">
        <v>0</v>
      </c>
      <c r="I4" s="1">
        <v>0</v>
      </c>
      <c r="J4" s="1">
        <v>0</v>
      </c>
      <c r="K4" s="1">
        <v>0</v>
      </c>
      <c r="L4" s="1">
        <v>0</v>
      </c>
      <c r="M4" s="1">
        <v>27</v>
      </c>
      <c r="N4" s="1">
        <v>39</v>
      </c>
      <c r="O4" s="1">
        <v>45</v>
      </c>
      <c r="P4" s="1">
        <v>0</v>
      </c>
      <c r="Q4" s="1">
        <v>46</v>
      </c>
      <c r="R4" s="1"/>
      <c r="S4" s="1"/>
      <c r="T4" s="1"/>
      <c r="U4" s="1"/>
      <c r="V4" s="1"/>
      <c r="W4" s="1"/>
      <c r="X4">
        <f t="shared" ref="X4:X12" si="0">SUM(D4:W4)</f>
        <v>217</v>
      </c>
      <c r="Y4">
        <f t="shared" ref="Y4:Y12" si="1">COUNT(D4:W4)</f>
        <v>14</v>
      </c>
      <c r="Z4">
        <f t="shared" ref="Z4:Z12" si="2">COUNTIF(D4:W4,0)</f>
        <v>8</v>
      </c>
      <c r="AA4">
        <f t="shared" ref="AA4:AA12" si="3">Y4-Z4</f>
        <v>6</v>
      </c>
      <c r="AB4">
        <f t="shared" ref="AB4:AB12" si="4">X4/AA4</f>
        <v>36.166666666666664</v>
      </c>
    </row>
    <row r="5" spans="2:28">
      <c r="C5" t="s">
        <v>32</v>
      </c>
      <c r="D5" s="1">
        <v>38</v>
      </c>
      <c r="E5" s="1">
        <v>20</v>
      </c>
      <c r="F5" s="1">
        <v>36</v>
      </c>
      <c r="G5" s="1">
        <v>32</v>
      </c>
      <c r="H5" s="1">
        <v>0</v>
      </c>
      <c r="I5" s="1">
        <v>43</v>
      </c>
      <c r="J5" s="1">
        <v>36</v>
      </c>
      <c r="K5" s="1"/>
      <c r="L5" s="1"/>
      <c r="M5" s="1"/>
      <c r="N5" s="1"/>
      <c r="O5" s="1"/>
      <c r="P5" s="1"/>
      <c r="Q5" s="1"/>
      <c r="R5" s="1"/>
      <c r="S5" s="1"/>
      <c r="T5" s="1"/>
      <c r="U5" s="1"/>
      <c r="V5" s="1"/>
      <c r="W5" s="1"/>
      <c r="X5">
        <f t="shared" si="0"/>
        <v>205</v>
      </c>
      <c r="Y5">
        <f t="shared" si="1"/>
        <v>7</v>
      </c>
      <c r="Z5">
        <f t="shared" si="2"/>
        <v>1</v>
      </c>
      <c r="AA5">
        <f t="shared" si="3"/>
        <v>6</v>
      </c>
      <c r="AB5">
        <f t="shared" si="4"/>
        <v>34.166666666666664</v>
      </c>
    </row>
    <row r="6" spans="2:28">
      <c r="C6" t="s">
        <v>33</v>
      </c>
      <c r="D6" s="1">
        <v>7</v>
      </c>
      <c r="E6" s="1">
        <v>30</v>
      </c>
      <c r="F6" s="1">
        <v>40</v>
      </c>
      <c r="G6" s="1">
        <v>0</v>
      </c>
      <c r="H6" s="1">
        <v>0</v>
      </c>
      <c r="I6" s="1">
        <v>0</v>
      </c>
      <c r="J6" s="1">
        <v>33</v>
      </c>
      <c r="K6" s="1">
        <v>34</v>
      </c>
      <c r="L6" s="1">
        <v>0</v>
      </c>
      <c r="M6" s="1">
        <v>36</v>
      </c>
      <c r="N6" s="1">
        <v>0</v>
      </c>
      <c r="O6" s="1">
        <v>0</v>
      </c>
      <c r="P6" s="1">
        <v>37</v>
      </c>
      <c r="Q6" s="1"/>
      <c r="R6" s="1"/>
      <c r="S6" s="1"/>
      <c r="T6" s="1"/>
      <c r="U6" s="1"/>
      <c r="V6" s="1"/>
      <c r="W6" s="1"/>
      <c r="X6">
        <f t="shared" si="0"/>
        <v>217</v>
      </c>
      <c r="Y6">
        <f t="shared" si="1"/>
        <v>13</v>
      </c>
      <c r="Z6">
        <f t="shared" si="2"/>
        <v>6</v>
      </c>
      <c r="AA6">
        <f t="shared" si="3"/>
        <v>7</v>
      </c>
      <c r="AB6">
        <f t="shared" si="4"/>
        <v>31</v>
      </c>
    </row>
    <row r="7" spans="2:28">
      <c r="C7" t="s">
        <v>34</v>
      </c>
      <c r="D7" s="1">
        <v>32</v>
      </c>
      <c r="E7" s="1">
        <v>36</v>
      </c>
      <c r="F7" s="1">
        <v>40</v>
      </c>
      <c r="G7" s="1">
        <v>0</v>
      </c>
      <c r="H7" s="1">
        <v>31</v>
      </c>
      <c r="I7" s="1">
        <v>30</v>
      </c>
      <c r="J7" s="1">
        <v>0</v>
      </c>
      <c r="K7" s="1">
        <v>41</v>
      </c>
      <c r="L7" s="1"/>
      <c r="M7" s="1"/>
      <c r="N7" s="1"/>
      <c r="O7" s="1"/>
      <c r="P7" s="1"/>
      <c r="Q7" s="1"/>
      <c r="R7" s="1"/>
      <c r="S7" s="1"/>
      <c r="T7" s="1"/>
      <c r="U7" s="1"/>
      <c r="V7" s="1"/>
      <c r="W7" s="1"/>
      <c r="X7">
        <f t="shared" si="0"/>
        <v>210</v>
      </c>
      <c r="Y7">
        <f t="shared" si="1"/>
        <v>8</v>
      </c>
      <c r="Z7">
        <f t="shared" si="2"/>
        <v>2</v>
      </c>
      <c r="AA7">
        <f t="shared" si="3"/>
        <v>6</v>
      </c>
      <c r="AB7">
        <f t="shared" si="4"/>
        <v>35</v>
      </c>
    </row>
    <row r="8" spans="2:28">
      <c r="C8" t="s">
        <v>35</v>
      </c>
      <c r="D8" s="1">
        <v>0</v>
      </c>
      <c r="E8" s="1">
        <v>33</v>
      </c>
      <c r="F8" s="1">
        <v>0</v>
      </c>
      <c r="G8" s="1">
        <v>0</v>
      </c>
      <c r="H8" s="1">
        <v>12</v>
      </c>
      <c r="I8" s="1">
        <v>30</v>
      </c>
      <c r="J8" s="1">
        <v>0</v>
      </c>
      <c r="K8" s="1">
        <v>0</v>
      </c>
      <c r="L8" s="1">
        <v>0</v>
      </c>
      <c r="M8" s="1">
        <v>0</v>
      </c>
      <c r="N8" s="1">
        <v>0</v>
      </c>
      <c r="O8" s="1">
        <v>0</v>
      </c>
      <c r="P8" s="1">
        <v>28</v>
      </c>
      <c r="Q8" s="1">
        <v>0</v>
      </c>
      <c r="R8" s="1">
        <v>30</v>
      </c>
      <c r="S8" s="1">
        <v>0</v>
      </c>
      <c r="T8" s="1">
        <v>31</v>
      </c>
      <c r="U8" s="1">
        <v>45</v>
      </c>
      <c r="V8" s="1"/>
      <c r="W8" s="1"/>
      <c r="X8">
        <f t="shared" si="0"/>
        <v>209</v>
      </c>
      <c r="Y8">
        <f t="shared" si="1"/>
        <v>18</v>
      </c>
      <c r="Z8">
        <f t="shared" si="2"/>
        <v>11</v>
      </c>
      <c r="AA8">
        <f t="shared" si="3"/>
        <v>7</v>
      </c>
      <c r="AB8">
        <f t="shared" si="4"/>
        <v>29.857142857142858</v>
      </c>
    </row>
    <row r="9" spans="2:28">
      <c r="C9" t="s">
        <v>36</v>
      </c>
      <c r="D9" s="1">
        <v>0</v>
      </c>
      <c r="E9" s="1">
        <v>0</v>
      </c>
      <c r="F9" s="1">
        <v>0</v>
      </c>
      <c r="G9" s="1">
        <v>40</v>
      </c>
      <c r="H9" s="1">
        <v>32</v>
      </c>
      <c r="I9" s="1">
        <v>0</v>
      </c>
      <c r="J9" s="1">
        <v>36</v>
      </c>
      <c r="K9" s="1">
        <v>0</v>
      </c>
      <c r="L9" s="1">
        <v>7</v>
      </c>
      <c r="M9" s="1">
        <v>28</v>
      </c>
      <c r="N9" s="1">
        <v>0</v>
      </c>
      <c r="O9" s="1">
        <v>0</v>
      </c>
      <c r="P9" s="1">
        <v>0</v>
      </c>
      <c r="Q9" s="1">
        <v>36</v>
      </c>
      <c r="R9" s="1">
        <v>0</v>
      </c>
      <c r="S9" s="1">
        <v>39</v>
      </c>
      <c r="T9" s="1"/>
      <c r="U9" s="1"/>
      <c r="V9" s="1"/>
      <c r="W9" s="1"/>
      <c r="X9">
        <f t="shared" si="0"/>
        <v>218</v>
      </c>
      <c r="Y9">
        <f t="shared" si="1"/>
        <v>16</v>
      </c>
      <c r="Z9">
        <f t="shared" si="2"/>
        <v>9</v>
      </c>
      <c r="AA9">
        <f t="shared" si="3"/>
        <v>7</v>
      </c>
      <c r="AB9">
        <f t="shared" si="4"/>
        <v>31.142857142857142</v>
      </c>
    </row>
    <row r="10" spans="2:28">
      <c r="C10" t="s">
        <v>37</v>
      </c>
      <c r="D10" s="1">
        <v>34</v>
      </c>
      <c r="E10" s="1">
        <v>0</v>
      </c>
      <c r="F10" s="1">
        <v>45</v>
      </c>
      <c r="G10" s="1">
        <v>31</v>
      </c>
      <c r="H10" s="1">
        <v>24</v>
      </c>
      <c r="I10" s="1">
        <v>0</v>
      </c>
      <c r="J10" s="1">
        <v>0</v>
      </c>
      <c r="K10" s="1">
        <v>42</v>
      </c>
      <c r="L10" s="1">
        <v>0</v>
      </c>
      <c r="M10" s="1">
        <v>39</v>
      </c>
      <c r="N10" s="1"/>
      <c r="O10" s="1"/>
      <c r="P10" s="1"/>
      <c r="Q10" s="1"/>
      <c r="R10" s="1"/>
      <c r="S10" s="1"/>
      <c r="T10" s="1"/>
      <c r="U10" s="1"/>
      <c r="V10" s="1"/>
      <c r="W10" s="1"/>
      <c r="X10">
        <f t="shared" si="0"/>
        <v>215</v>
      </c>
      <c r="Y10">
        <f t="shared" si="1"/>
        <v>10</v>
      </c>
      <c r="Z10">
        <f t="shared" si="2"/>
        <v>4</v>
      </c>
      <c r="AA10">
        <f t="shared" si="3"/>
        <v>6</v>
      </c>
      <c r="AB10">
        <f t="shared" si="4"/>
        <v>35.833333333333336</v>
      </c>
    </row>
    <row r="11" spans="2:28">
      <c r="C11" t="s">
        <v>38</v>
      </c>
      <c r="D11" s="1">
        <v>30</v>
      </c>
      <c r="E11" s="1">
        <v>0</v>
      </c>
      <c r="F11" s="1">
        <v>37</v>
      </c>
      <c r="G11" s="1">
        <v>0</v>
      </c>
      <c r="H11" s="1">
        <v>0</v>
      </c>
      <c r="I11" s="1">
        <v>31</v>
      </c>
      <c r="J11" s="1">
        <v>0</v>
      </c>
      <c r="K11" s="1">
        <v>0</v>
      </c>
      <c r="L11" s="1">
        <v>44</v>
      </c>
      <c r="M11" s="1">
        <v>37</v>
      </c>
      <c r="N11" s="1">
        <v>34</v>
      </c>
      <c r="O11" s="1"/>
      <c r="P11" s="1"/>
      <c r="Q11" s="1"/>
      <c r="R11" s="1"/>
      <c r="S11" s="1"/>
      <c r="T11" s="1"/>
      <c r="U11" s="1"/>
      <c r="V11" s="1"/>
      <c r="W11" s="1"/>
      <c r="X11">
        <f t="shared" si="0"/>
        <v>213</v>
      </c>
      <c r="Y11">
        <f t="shared" si="1"/>
        <v>11</v>
      </c>
      <c r="Z11">
        <f t="shared" si="2"/>
        <v>5</v>
      </c>
      <c r="AA11">
        <f t="shared" si="3"/>
        <v>6</v>
      </c>
      <c r="AB11">
        <f t="shared" si="4"/>
        <v>35.5</v>
      </c>
    </row>
    <row r="12" spans="2:28">
      <c r="C12" t="s">
        <v>39</v>
      </c>
      <c r="D12" s="1">
        <v>30</v>
      </c>
      <c r="E12" s="1">
        <v>36</v>
      </c>
      <c r="F12" s="1">
        <v>0</v>
      </c>
      <c r="G12" s="1">
        <v>29</v>
      </c>
      <c r="H12" s="1">
        <v>0</v>
      </c>
      <c r="I12" s="1">
        <v>36</v>
      </c>
      <c r="J12" s="1">
        <v>0</v>
      </c>
      <c r="K12" s="1">
        <v>32</v>
      </c>
      <c r="L12" s="1">
        <v>41</v>
      </c>
      <c r="M12" s="1"/>
      <c r="N12" s="1"/>
      <c r="O12" s="1"/>
      <c r="P12" s="1"/>
      <c r="Q12" s="1"/>
      <c r="R12" s="1"/>
      <c r="S12" s="1"/>
      <c r="T12" s="1"/>
      <c r="U12" s="1"/>
      <c r="V12" s="1"/>
      <c r="W12" s="1"/>
      <c r="X12">
        <f t="shared" si="0"/>
        <v>204</v>
      </c>
      <c r="Y12">
        <f t="shared" si="1"/>
        <v>9</v>
      </c>
      <c r="Z12">
        <f t="shared" si="2"/>
        <v>3</v>
      </c>
      <c r="AA12">
        <f t="shared" si="3"/>
        <v>6</v>
      </c>
      <c r="AB12">
        <f t="shared" si="4"/>
        <v>34</v>
      </c>
    </row>
    <row r="13" spans="2:28">
      <c r="X13" t="s">
        <v>52</v>
      </c>
      <c r="Y13">
        <f>AVERAGE(Y3:Y12)</f>
        <v>11.6</v>
      </c>
      <c r="Z13">
        <f t="shared" ref="Z13:AB13" si="5">AVERAGE(Z3:Z12)</f>
        <v>5.3</v>
      </c>
      <c r="AA13">
        <f t="shared" si="5"/>
        <v>6.3</v>
      </c>
      <c r="AB13">
        <f t="shared" si="5"/>
        <v>33.85</v>
      </c>
    </row>
  </sheetData>
  <phoneticPr fontId="3" type="noConversion"/>
  <conditionalFormatting sqref="D3:W12">
    <cfRule type="colorScale" priority="1">
      <colorScale>
        <cfvo type="min"/>
        <cfvo type="max"/>
        <color rgb="FFFF7128"/>
        <color theme="9"/>
      </colorScale>
    </cfRule>
    <cfRule type="cellIs" dxfId="15" priority="3" operator="equal">
      <formula>0</formula>
    </cfRule>
  </conditionalFormatting>
  <conditionalFormatting sqref="E7">
    <cfRule type="colorScale" priority="2">
      <colorScale>
        <cfvo type="min"/>
        <cfvo type="max"/>
        <color rgb="FFFF7128"/>
        <color theme="9"/>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647F8-E4E5-49C3-B391-C8FB35E3608C}">
  <dimension ref="B2:W13"/>
  <sheetViews>
    <sheetView workbookViewId="0">
      <selection activeCell="K32" sqref="K32"/>
    </sheetView>
  </sheetViews>
  <sheetFormatPr defaultRowHeight="15"/>
  <cols>
    <col min="2" max="2" width="12.28515625" bestFit="1" customWidth="1"/>
  </cols>
  <sheetData>
    <row r="2" spans="2:23">
      <c r="B2" t="s">
        <v>16</v>
      </c>
      <c r="D2" t="s">
        <v>19</v>
      </c>
      <c r="E2" t="s">
        <v>20</v>
      </c>
      <c r="F2" t="s">
        <v>21</v>
      </c>
      <c r="G2" t="s">
        <v>22</v>
      </c>
      <c r="H2" t="s">
        <v>23</v>
      </c>
      <c r="I2" t="s">
        <v>24</v>
      </c>
      <c r="J2" t="s">
        <v>25</v>
      </c>
      <c r="K2" t="s">
        <v>26</v>
      </c>
      <c r="L2" t="s">
        <v>27</v>
      </c>
      <c r="M2" t="s">
        <v>28</v>
      </c>
      <c r="N2" t="s">
        <v>29</v>
      </c>
      <c r="O2" t="s">
        <v>30</v>
      </c>
      <c r="P2" t="s">
        <v>40</v>
      </c>
      <c r="Q2" t="s">
        <v>41</v>
      </c>
      <c r="R2" t="s">
        <v>42</v>
      </c>
      <c r="S2" t="s">
        <v>50</v>
      </c>
      <c r="T2" t="s">
        <v>49</v>
      </c>
      <c r="U2" t="s">
        <v>48</v>
      </c>
      <c r="V2" t="s">
        <v>51</v>
      </c>
      <c r="W2" t="s">
        <v>77</v>
      </c>
    </row>
    <row r="3" spans="2:23">
      <c r="C3" t="s">
        <v>18</v>
      </c>
      <c r="D3" s="1"/>
      <c r="E3" s="1"/>
      <c r="F3" s="1"/>
      <c r="G3" s="1"/>
      <c r="H3" s="1"/>
      <c r="I3" s="1"/>
      <c r="J3" s="1"/>
      <c r="K3" s="1"/>
      <c r="L3" s="1"/>
      <c r="M3" s="1"/>
      <c r="N3" s="1"/>
      <c r="O3" s="1"/>
      <c r="P3" s="1"/>
      <c r="Q3" s="1"/>
      <c r="R3" s="1"/>
      <c r="S3">
        <f>SUM(D3:R3)</f>
        <v>0</v>
      </c>
      <c r="T3">
        <f>COUNT(D3:R3)</f>
        <v>0</v>
      </c>
      <c r="U3">
        <f>COUNTIF(D3:R3,0)</f>
        <v>0</v>
      </c>
      <c r="V3">
        <f>T3-U3</f>
        <v>0</v>
      </c>
      <c r="W3" t="e">
        <f>S3/V3</f>
        <v>#DIV/0!</v>
      </c>
    </row>
    <row r="4" spans="2:23">
      <c r="C4" t="s">
        <v>31</v>
      </c>
      <c r="D4" s="1"/>
      <c r="E4" s="1"/>
      <c r="F4" s="1"/>
      <c r="G4" s="1"/>
      <c r="H4" s="1"/>
      <c r="I4" s="1"/>
      <c r="J4" s="1"/>
      <c r="K4" s="1"/>
      <c r="L4" s="1"/>
      <c r="M4" s="1"/>
      <c r="N4" s="1"/>
      <c r="O4" s="1"/>
      <c r="P4" s="1"/>
      <c r="Q4" s="1"/>
      <c r="R4" s="1"/>
      <c r="S4">
        <f t="shared" ref="S4:S12" si="0">SUM(D4:R4)</f>
        <v>0</v>
      </c>
      <c r="T4">
        <f t="shared" ref="T4:T12" si="1">COUNT(D4:R4)</f>
        <v>0</v>
      </c>
      <c r="U4">
        <f t="shared" ref="U4:U12" si="2">COUNTIF(D4:R4,0)</f>
        <v>0</v>
      </c>
      <c r="V4">
        <f t="shared" ref="V4:V12" si="3">T4-U4</f>
        <v>0</v>
      </c>
      <c r="W4" t="e">
        <f t="shared" ref="W4:W12" si="4">S4/V4</f>
        <v>#DIV/0!</v>
      </c>
    </row>
    <row r="5" spans="2:23">
      <c r="C5" t="s">
        <v>32</v>
      </c>
      <c r="D5" s="1"/>
      <c r="E5" s="1"/>
      <c r="F5" s="1"/>
      <c r="G5" s="1"/>
      <c r="H5" s="1"/>
      <c r="I5" s="1"/>
      <c r="J5" s="1"/>
      <c r="K5" s="1"/>
      <c r="L5" s="1"/>
      <c r="M5" s="1"/>
      <c r="N5" s="1"/>
      <c r="O5" s="1"/>
      <c r="P5" s="1"/>
      <c r="Q5" s="1"/>
      <c r="R5" s="1"/>
      <c r="S5">
        <f t="shared" si="0"/>
        <v>0</v>
      </c>
      <c r="T5">
        <f t="shared" si="1"/>
        <v>0</v>
      </c>
      <c r="U5">
        <f t="shared" si="2"/>
        <v>0</v>
      </c>
      <c r="V5">
        <f t="shared" si="3"/>
        <v>0</v>
      </c>
      <c r="W5" t="e">
        <f t="shared" si="4"/>
        <v>#DIV/0!</v>
      </c>
    </row>
    <row r="6" spans="2:23">
      <c r="C6" t="s">
        <v>33</v>
      </c>
      <c r="D6" s="1"/>
      <c r="E6" s="1"/>
      <c r="F6" s="1"/>
      <c r="G6" s="1"/>
      <c r="H6" s="1"/>
      <c r="I6" s="1"/>
      <c r="J6" s="1"/>
      <c r="K6" s="1"/>
      <c r="L6" s="1"/>
      <c r="M6" s="1"/>
      <c r="N6" s="1"/>
      <c r="O6" s="1"/>
      <c r="P6" s="1"/>
      <c r="Q6" s="1"/>
      <c r="R6" s="1"/>
      <c r="S6">
        <f t="shared" si="0"/>
        <v>0</v>
      </c>
      <c r="T6">
        <f t="shared" si="1"/>
        <v>0</v>
      </c>
      <c r="U6">
        <f t="shared" si="2"/>
        <v>0</v>
      </c>
      <c r="V6">
        <f t="shared" si="3"/>
        <v>0</v>
      </c>
      <c r="W6" t="e">
        <f t="shared" si="4"/>
        <v>#DIV/0!</v>
      </c>
    </row>
    <row r="7" spans="2:23">
      <c r="C7" t="s">
        <v>34</v>
      </c>
      <c r="D7" s="1"/>
      <c r="E7" s="1"/>
      <c r="F7" s="1"/>
      <c r="G7" s="1"/>
      <c r="H7" s="1"/>
      <c r="I7" s="1"/>
      <c r="J7" s="1"/>
      <c r="K7" s="1"/>
      <c r="L7" s="1"/>
      <c r="M7" s="1"/>
      <c r="N7" s="1"/>
      <c r="O7" s="1"/>
      <c r="P7" s="1"/>
      <c r="Q7" s="1"/>
      <c r="R7" s="1"/>
      <c r="S7">
        <f t="shared" si="0"/>
        <v>0</v>
      </c>
      <c r="T7">
        <f t="shared" si="1"/>
        <v>0</v>
      </c>
      <c r="U7">
        <f t="shared" si="2"/>
        <v>0</v>
      </c>
      <c r="V7">
        <f t="shared" si="3"/>
        <v>0</v>
      </c>
      <c r="W7" t="e">
        <f t="shared" si="4"/>
        <v>#DIV/0!</v>
      </c>
    </row>
    <row r="8" spans="2:23">
      <c r="C8" t="s">
        <v>35</v>
      </c>
      <c r="D8" s="1"/>
      <c r="E8" s="1"/>
      <c r="F8" s="1"/>
      <c r="G8" s="1"/>
      <c r="H8" s="1"/>
      <c r="I8" s="1"/>
      <c r="J8" s="1"/>
      <c r="K8" s="1"/>
      <c r="L8" s="1"/>
      <c r="M8" s="1"/>
      <c r="N8" s="1"/>
      <c r="O8" s="1"/>
      <c r="P8" s="1"/>
      <c r="Q8" s="1"/>
      <c r="R8" s="1"/>
      <c r="S8">
        <f t="shared" si="0"/>
        <v>0</v>
      </c>
      <c r="T8">
        <f t="shared" si="1"/>
        <v>0</v>
      </c>
      <c r="U8">
        <f t="shared" si="2"/>
        <v>0</v>
      </c>
      <c r="V8">
        <f t="shared" si="3"/>
        <v>0</v>
      </c>
      <c r="W8" t="e">
        <f t="shared" si="4"/>
        <v>#DIV/0!</v>
      </c>
    </row>
    <row r="9" spans="2:23">
      <c r="C9" t="s">
        <v>36</v>
      </c>
      <c r="D9" s="1"/>
      <c r="E9" s="1"/>
      <c r="F9" s="1"/>
      <c r="G9" s="1"/>
      <c r="H9" s="1"/>
      <c r="I9" s="1"/>
      <c r="J9" s="1"/>
      <c r="K9" s="1"/>
      <c r="L9" s="1"/>
      <c r="M9" s="1"/>
      <c r="N9" s="1"/>
      <c r="O9" s="1"/>
      <c r="P9" s="1"/>
      <c r="Q9" s="1"/>
      <c r="R9" s="1"/>
      <c r="S9">
        <f t="shared" si="0"/>
        <v>0</v>
      </c>
      <c r="T9">
        <f t="shared" si="1"/>
        <v>0</v>
      </c>
      <c r="U9">
        <f t="shared" si="2"/>
        <v>0</v>
      </c>
      <c r="V9">
        <f t="shared" si="3"/>
        <v>0</v>
      </c>
      <c r="W9" t="e">
        <f t="shared" si="4"/>
        <v>#DIV/0!</v>
      </c>
    </row>
    <row r="10" spans="2:23">
      <c r="C10" t="s">
        <v>37</v>
      </c>
      <c r="D10" s="1"/>
      <c r="E10" s="1"/>
      <c r="F10" s="1"/>
      <c r="G10" s="1"/>
      <c r="H10" s="1"/>
      <c r="I10" s="1"/>
      <c r="J10" s="1"/>
      <c r="K10" s="1"/>
      <c r="L10" s="1"/>
      <c r="M10" s="1"/>
      <c r="N10" s="1"/>
      <c r="O10" s="1"/>
      <c r="P10" s="1"/>
      <c r="Q10" s="1"/>
      <c r="R10" s="1"/>
      <c r="S10">
        <f t="shared" si="0"/>
        <v>0</v>
      </c>
      <c r="T10">
        <f t="shared" si="1"/>
        <v>0</v>
      </c>
      <c r="U10">
        <f t="shared" si="2"/>
        <v>0</v>
      </c>
      <c r="V10">
        <f t="shared" si="3"/>
        <v>0</v>
      </c>
      <c r="W10" t="e">
        <f t="shared" si="4"/>
        <v>#DIV/0!</v>
      </c>
    </row>
    <row r="11" spans="2:23">
      <c r="C11" t="s">
        <v>38</v>
      </c>
      <c r="D11" s="1"/>
      <c r="E11" s="1"/>
      <c r="F11" s="1"/>
      <c r="G11" s="1"/>
      <c r="H11" s="1"/>
      <c r="I11" s="1"/>
      <c r="J11" s="1"/>
      <c r="K11" s="1"/>
      <c r="L11" s="1"/>
      <c r="M11" s="1"/>
      <c r="N11" s="1"/>
      <c r="O11" s="1"/>
      <c r="P11" s="1"/>
      <c r="Q11" s="1"/>
      <c r="R11" s="1"/>
      <c r="S11">
        <f t="shared" si="0"/>
        <v>0</v>
      </c>
      <c r="T11">
        <f t="shared" si="1"/>
        <v>0</v>
      </c>
      <c r="U11">
        <f t="shared" si="2"/>
        <v>0</v>
      </c>
      <c r="V11">
        <f t="shared" si="3"/>
        <v>0</v>
      </c>
      <c r="W11" t="e">
        <f t="shared" si="4"/>
        <v>#DIV/0!</v>
      </c>
    </row>
    <row r="12" spans="2:23">
      <c r="C12" t="s">
        <v>39</v>
      </c>
      <c r="D12" s="1"/>
      <c r="E12" s="1"/>
      <c r="F12" s="1"/>
      <c r="G12" s="1"/>
      <c r="H12" s="1"/>
      <c r="I12" s="1"/>
      <c r="J12" s="1"/>
      <c r="K12" s="1"/>
      <c r="L12" s="1"/>
      <c r="M12" s="1"/>
      <c r="N12" s="1"/>
      <c r="O12" s="1"/>
      <c r="P12" s="1"/>
      <c r="Q12" s="1"/>
      <c r="R12" s="1"/>
      <c r="S12">
        <f t="shared" si="0"/>
        <v>0</v>
      </c>
      <c r="T12">
        <f t="shared" si="1"/>
        <v>0</v>
      </c>
      <c r="U12">
        <f t="shared" si="2"/>
        <v>0</v>
      </c>
      <c r="V12">
        <f t="shared" si="3"/>
        <v>0</v>
      </c>
      <c r="W12" t="e">
        <f t="shared" si="4"/>
        <v>#DIV/0!</v>
      </c>
    </row>
    <row r="13" spans="2:23">
      <c r="S13" t="s">
        <v>52</v>
      </c>
      <c r="T13">
        <f>AVERAGE(T3:T12)</f>
        <v>0</v>
      </c>
      <c r="U13">
        <f t="shared" ref="U13:W13" si="5">AVERAGE(U3:U12)</f>
        <v>0</v>
      </c>
      <c r="V13">
        <f t="shared" si="5"/>
        <v>0</v>
      </c>
      <c r="W13" t="e">
        <f t="shared" si="5"/>
        <v>#DIV/0!</v>
      </c>
    </row>
  </sheetData>
  <conditionalFormatting sqref="D3:R12">
    <cfRule type="colorScale" priority="1">
      <colorScale>
        <cfvo type="min"/>
        <cfvo type="max"/>
        <color rgb="FFFF7128"/>
        <color theme="9"/>
      </colorScale>
    </cfRule>
    <cfRule type="cellIs" dxfId="14" priority="3" operator="equal">
      <formula>0</formula>
    </cfRule>
  </conditionalFormatting>
  <conditionalFormatting sqref="E7">
    <cfRule type="colorScale" priority="2">
      <colorScale>
        <cfvo type="min"/>
        <cfvo type="max"/>
        <color rgb="FFFF7128"/>
        <color theme="9"/>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99220-DDDC-453A-9B68-1468D94327B6}">
  <dimension ref="B2:W13"/>
  <sheetViews>
    <sheetView topLeftCell="G1" workbookViewId="0">
      <selection activeCell="X10" sqref="X10"/>
    </sheetView>
  </sheetViews>
  <sheetFormatPr defaultRowHeight="15"/>
  <cols>
    <col min="2" max="2" width="20.5703125" bestFit="1" customWidth="1"/>
  </cols>
  <sheetData>
    <row r="2" spans="2:23">
      <c r="B2" t="s">
        <v>58</v>
      </c>
      <c r="D2" t="s">
        <v>19</v>
      </c>
      <c r="E2" t="s">
        <v>20</v>
      </c>
      <c r="F2" t="s">
        <v>21</v>
      </c>
      <c r="G2" t="s">
        <v>22</v>
      </c>
      <c r="H2" t="s">
        <v>23</v>
      </c>
      <c r="I2" t="s">
        <v>24</v>
      </c>
      <c r="J2" t="s">
        <v>25</v>
      </c>
      <c r="K2" t="s">
        <v>26</v>
      </c>
      <c r="L2" t="s">
        <v>27</v>
      </c>
      <c r="M2" t="s">
        <v>28</v>
      </c>
      <c r="N2" t="s">
        <v>29</v>
      </c>
      <c r="O2" t="s">
        <v>30</v>
      </c>
      <c r="P2" t="s">
        <v>40</v>
      </c>
      <c r="Q2" t="s">
        <v>41</v>
      </c>
      <c r="R2" t="s">
        <v>42</v>
      </c>
      <c r="S2" t="s">
        <v>50</v>
      </c>
      <c r="T2" t="s">
        <v>49</v>
      </c>
      <c r="U2" t="s">
        <v>48</v>
      </c>
      <c r="V2" t="s">
        <v>51</v>
      </c>
      <c r="W2" t="s">
        <v>77</v>
      </c>
    </row>
    <row r="3" spans="2:23">
      <c r="C3" t="s">
        <v>18</v>
      </c>
      <c r="D3" s="1">
        <v>20</v>
      </c>
      <c r="E3" s="1">
        <v>0</v>
      </c>
      <c r="F3" s="1">
        <v>23</v>
      </c>
      <c r="G3" s="1">
        <v>0</v>
      </c>
      <c r="H3" s="1">
        <v>25</v>
      </c>
      <c r="I3" s="1">
        <v>24</v>
      </c>
      <c r="J3" s="1">
        <v>27</v>
      </c>
      <c r="K3" s="1">
        <v>25</v>
      </c>
      <c r="L3" s="1">
        <v>26</v>
      </c>
      <c r="M3" s="1">
        <v>21</v>
      </c>
      <c r="N3" s="1">
        <v>20</v>
      </c>
      <c r="O3" s="1"/>
      <c r="P3" s="1"/>
      <c r="Q3" s="1"/>
      <c r="R3" s="1"/>
      <c r="S3">
        <f>SUM(D3:R3)</f>
        <v>211</v>
      </c>
      <c r="T3">
        <f>COUNT(D3:R3)</f>
        <v>11</v>
      </c>
      <c r="U3">
        <f>COUNTIF(D3:R3,0)</f>
        <v>2</v>
      </c>
      <c r="V3">
        <f>T3-U3</f>
        <v>9</v>
      </c>
      <c r="W3">
        <f>S3/V3</f>
        <v>23.444444444444443</v>
      </c>
    </row>
    <row r="4" spans="2:23">
      <c r="C4" t="s">
        <v>31</v>
      </c>
      <c r="D4" s="1">
        <v>0</v>
      </c>
      <c r="E4" s="1">
        <v>22</v>
      </c>
      <c r="F4" s="1">
        <v>27</v>
      </c>
      <c r="G4" s="1">
        <v>20</v>
      </c>
      <c r="H4" s="1">
        <v>0</v>
      </c>
      <c r="I4" s="1">
        <v>30</v>
      </c>
      <c r="J4" s="1">
        <v>21</v>
      </c>
      <c r="K4" s="1">
        <v>0</v>
      </c>
      <c r="L4" s="1">
        <v>24</v>
      </c>
      <c r="M4" s="1">
        <v>20</v>
      </c>
      <c r="N4" s="1">
        <v>32</v>
      </c>
      <c r="O4" s="1">
        <v>24</v>
      </c>
      <c r="P4" s="1"/>
      <c r="Q4" s="1"/>
      <c r="R4" s="1"/>
      <c r="S4">
        <f t="shared" ref="S4:S12" si="0">SUM(D4:R4)</f>
        <v>220</v>
      </c>
      <c r="T4">
        <f t="shared" ref="T4:T12" si="1">COUNT(D4:R4)</f>
        <v>12</v>
      </c>
      <c r="U4">
        <f t="shared" ref="U4:U12" si="2">COUNTIF(D4:R4,0)</f>
        <v>3</v>
      </c>
      <c r="V4">
        <f t="shared" ref="V4:V12" si="3">T4-U4</f>
        <v>9</v>
      </c>
      <c r="W4">
        <f t="shared" ref="W4:W12" si="4">S4/V4</f>
        <v>24.444444444444443</v>
      </c>
    </row>
    <row r="5" spans="2:23">
      <c r="C5" t="s">
        <v>32</v>
      </c>
      <c r="D5" s="1">
        <v>0</v>
      </c>
      <c r="E5" s="1">
        <v>22</v>
      </c>
      <c r="F5" s="1">
        <v>28</v>
      </c>
      <c r="G5" s="1">
        <v>24</v>
      </c>
      <c r="H5" s="1">
        <v>23</v>
      </c>
      <c r="I5" s="1">
        <v>24</v>
      </c>
      <c r="J5" s="1">
        <v>23</v>
      </c>
      <c r="K5" s="1">
        <v>0</v>
      </c>
      <c r="L5" s="1">
        <v>22</v>
      </c>
      <c r="M5" s="1">
        <v>31</v>
      </c>
      <c r="N5" s="1">
        <v>23</v>
      </c>
      <c r="O5" s="1"/>
      <c r="P5" s="1"/>
      <c r="Q5" s="1"/>
      <c r="R5" s="1"/>
      <c r="S5">
        <f t="shared" si="0"/>
        <v>220</v>
      </c>
      <c r="T5">
        <f t="shared" si="1"/>
        <v>11</v>
      </c>
      <c r="U5">
        <f t="shared" si="2"/>
        <v>2</v>
      </c>
      <c r="V5">
        <f t="shared" si="3"/>
        <v>9</v>
      </c>
      <c r="W5">
        <f t="shared" si="4"/>
        <v>24.444444444444443</v>
      </c>
    </row>
    <row r="6" spans="2:23">
      <c r="C6" t="s">
        <v>33</v>
      </c>
      <c r="D6" s="1">
        <v>27</v>
      </c>
      <c r="E6" s="1">
        <v>22</v>
      </c>
      <c r="F6" s="1">
        <v>25</v>
      </c>
      <c r="G6" s="1">
        <v>23</v>
      </c>
      <c r="H6" s="1">
        <v>23</v>
      </c>
      <c r="I6" s="1">
        <v>24</v>
      </c>
      <c r="J6" s="1">
        <v>27</v>
      </c>
      <c r="K6" s="1">
        <v>21</v>
      </c>
      <c r="L6" s="1">
        <v>20</v>
      </c>
      <c r="M6" s="1"/>
      <c r="N6" s="1"/>
      <c r="O6" s="1"/>
      <c r="P6" s="1"/>
      <c r="Q6" s="1"/>
      <c r="R6" s="1"/>
      <c r="S6">
        <f t="shared" si="0"/>
        <v>212</v>
      </c>
      <c r="T6">
        <f t="shared" si="1"/>
        <v>9</v>
      </c>
      <c r="U6">
        <f t="shared" si="2"/>
        <v>0</v>
      </c>
      <c r="V6">
        <f t="shared" si="3"/>
        <v>9</v>
      </c>
      <c r="W6">
        <f t="shared" si="4"/>
        <v>23.555555555555557</v>
      </c>
    </row>
    <row r="7" spans="2:23">
      <c r="C7" t="s">
        <v>34</v>
      </c>
      <c r="D7" s="1">
        <v>24</v>
      </c>
      <c r="E7" s="1">
        <v>0</v>
      </c>
      <c r="F7" s="1">
        <v>21</v>
      </c>
      <c r="G7" s="1">
        <v>22</v>
      </c>
      <c r="H7" s="1">
        <v>21</v>
      </c>
      <c r="I7" s="1">
        <v>0</v>
      </c>
      <c r="J7" s="1">
        <v>0</v>
      </c>
      <c r="K7" s="1">
        <v>28</v>
      </c>
      <c r="L7" s="1">
        <v>24</v>
      </c>
      <c r="M7" s="1">
        <v>27</v>
      </c>
      <c r="N7" s="1">
        <v>25</v>
      </c>
      <c r="O7" s="1">
        <v>28</v>
      </c>
      <c r="P7" s="1"/>
      <c r="Q7" s="1"/>
      <c r="R7" s="1"/>
      <c r="S7">
        <f t="shared" si="0"/>
        <v>220</v>
      </c>
      <c r="T7">
        <f t="shared" si="1"/>
        <v>12</v>
      </c>
      <c r="U7">
        <f t="shared" si="2"/>
        <v>3</v>
      </c>
      <c r="V7">
        <f t="shared" si="3"/>
        <v>9</v>
      </c>
      <c r="W7">
        <f t="shared" si="4"/>
        <v>24.444444444444443</v>
      </c>
    </row>
    <row r="8" spans="2:23">
      <c r="C8" t="s">
        <v>35</v>
      </c>
      <c r="D8" s="1">
        <v>27</v>
      </c>
      <c r="E8" s="1">
        <v>25</v>
      </c>
      <c r="F8" s="1">
        <v>25</v>
      </c>
      <c r="G8" s="1">
        <v>28</v>
      </c>
      <c r="H8" s="1">
        <v>25</v>
      </c>
      <c r="I8" s="1">
        <v>22</v>
      </c>
      <c r="J8" s="1">
        <v>26</v>
      </c>
      <c r="K8" s="1">
        <v>0</v>
      </c>
      <c r="L8" s="1">
        <v>25</v>
      </c>
      <c r="M8" s="1"/>
      <c r="N8" s="1"/>
      <c r="O8" s="1"/>
      <c r="P8" s="1"/>
      <c r="Q8" s="1"/>
      <c r="R8" s="1"/>
      <c r="S8">
        <f t="shared" si="0"/>
        <v>203</v>
      </c>
      <c r="T8">
        <f t="shared" si="1"/>
        <v>9</v>
      </c>
      <c r="U8">
        <f t="shared" si="2"/>
        <v>1</v>
      </c>
      <c r="V8">
        <f t="shared" si="3"/>
        <v>8</v>
      </c>
      <c r="W8">
        <f t="shared" si="4"/>
        <v>25.375</v>
      </c>
    </row>
    <row r="9" spans="2:23">
      <c r="C9" t="s">
        <v>36</v>
      </c>
      <c r="D9" s="1">
        <v>30</v>
      </c>
      <c r="E9" s="1">
        <v>23</v>
      </c>
      <c r="F9" s="1">
        <v>20</v>
      </c>
      <c r="G9" s="1">
        <v>0</v>
      </c>
      <c r="H9" s="1">
        <v>25</v>
      </c>
      <c r="I9" s="1">
        <v>21</v>
      </c>
      <c r="J9" s="1">
        <v>21</v>
      </c>
      <c r="K9" s="1">
        <v>22</v>
      </c>
      <c r="L9" s="1">
        <v>21</v>
      </c>
      <c r="M9" s="1">
        <v>0</v>
      </c>
      <c r="N9" s="1">
        <v>25</v>
      </c>
      <c r="O9" s="1"/>
      <c r="P9" s="1"/>
      <c r="Q9" s="1"/>
      <c r="R9" s="1"/>
      <c r="S9">
        <f t="shared" si="0"/>
        <v>208</v>
      </c>
      <c r="T9">
        <f t="shared" si="1"/>
        <v>11</v>
      </c>
      <c r="U9">
        <f t="shared" si="2"/>
        <v>2</v>
      </c>
      <c r="V9">
        <f t="shared" si="3"/>
        <v>9</v>
      </c>
      <c r="W9">
        <f t="shared" si="4"/>
        <v>23.111111111111111</v>
      </c>
    </row>
    <row r="10" spans="2:23">
      <c r="C10" t="s">
        <v>37</v>
      </c>
      <c r="D10" s="1">
        <v>22</v>
      </c>
      <c r="E10" s="1">
        <v>20</v>
      </c>
      <c r="F10" s="1">
        <v>27</v>
      </c>
      <c r="G10" s="1">
        <v>0</v>
      </c>
      <c r="H10" s="1">
        <v>26</v>
      </c>
      <c r="I10" s="1">
        <v>32</v>
      </c>
      <c r="J10" s="1">
        <v>20</v>
      </c>
      <c r="K10" s="1">
        <v>21</v>
      </c>
      <c r="L10" s="1">
        <v>0</v>
      </c>
      <c r="M10" s="1">
        <v>23</v>
      </c>
      <c r="N10" s="1">
        <v>21</v>
      </c>
      <c r="O10" s="1"/>
      <c r="P10" s="1"/>
      <c r="Q10" s="1"/>
      <c r="R10" s="1"/>
      <c r="S10">
        <f t="shared" si="0"/>
        <v>212</v>
      </c>
      <c r="T10">
        <f t="shared" si="1"/>
        <v>11</v>
      </c>
      <c r="U10">
        <f t="shared" si="2"/>
        <v>2</v>
      </c>
      <c r="V10">
        <f t="shared" si="3"/>
        <v>9</v>
      </c>
      <c r="W10">
        <f t="shared" si="4"/>
        <v>23.555555555555557</v>
      </c>
    </row>
    <row r="11" spans="2:23">
      <c r="C11" t="s">
        <v>38</v>
      </c>
      <c r="D11" s="1">
        <v>24</v>
      </c>
      <c r="E11" s="1">
        <v>28</v>
      </c>
      <c r="F11" s="1">
        <v>23</v>
      </c>
      <c r="G11" s="1">
        <v>22</v>
      </c>
      <c r="H11" s="1">
        <v>0</v>
      </c>
      <c r="I11" s="1">
        <v>22</v>
      </c>
      <c r="J11" s="1">
        <v>0</v>
      </c>
      <c r="K11" s="1">
        <v>28</v>
      </c>
      <c r="L11" s="1">
        <v>24</v>
      </c>
      <c r="M11" s="1">
        <v>22</v>
      </c>
      <c r="N11" s="1">
        <v>22</v>
      </c>
      <c r="O11" s="1"/>
      <c r="P11" s="1"/>
      <c r="Q11" s="1"/>
      <c r="R11" s="1"/>
      <c r="S11">
        <f t="shared" si="0"/>
        <v>215</v>
      </c>
      <c r="T11">
        <f t="shared" si="1"/>
        <v>11</v>
      </c>
      <c r="U11">
        <f t="shared" si="2"/>
        <v>2</v>
      </c>
      <c r="V11">
        <f t="shared" si="3"/>
        <v>9</v>
      </c>
      <c r="W11">
        <f t="shared" si="4"/>
        <v>23.888888888888889</v>
      </c>
    </row>
    <row r="12" spans="2:23">
      <c r="C12" t="s">
        <v>39</v>
      </c>
      <c r="D12" s="1">
        <v>27</v>
      </c>
      <c r="E12" s="1">
        <v>21</v>
      </c>
      <c r="F12" s="1">
        <v>27</v>
      </c>
      <c r="G12" s="1">
        <v>23</v>
      </c>
      <c r="H12" s="1">
        <v>26</v>
      </c>
      <c r="I12" s="1">
        <v>22</v>
      </c>
      <c r="J12" s="1">
        <v>28</v>
      </c>
      <c r="K12" s="1">
        <v>20</v>
      </c>
      <c r="L12" s="1">
        <v>23</v>
      </c>
      <c r="M12" s="1"/>
      <c r="N12" s="1"/>
      <c r="O12" s="1"/>
      <c r="P12" s="1"/>
      <c r="Q12" s="1"/>
      <c r="R12" s="1"/>
      <c r="S12">
        <f t="shared" si="0"/>
        <v>217</v>
      </c>
      <c r="T12">
        <f t="shared" si="1"/>
        <v>9</v>
      </c>
      <c r="U12">
        <f t="shared" si="2"/>
        <v>0</v>
      </c>
      <c r="V12">
        <f t="shared" si="3"/>
        <v>9</v>
      </c>
      <c r="W12">
        <f t="shared" si="4"/>
        <v>24.111111111111111</v>
      </c>
    </row>
    <row r="13" spans="2:23">
      <c r="S13" t="s">
        <v>52</v>
      </c>
      <c r="T13">
        <f>AVERAGE(T3:T12)</f>
        <v>10.6</v>
      </c>
      <c r="U13">
        <f t="shared" ref="U13:W13" si="5">AVERAGE(U3:U12)</f>
        <v>1.7</v>
      </c>
      <c r="V13">
        <f t="shared" si="5"/>
        <v>8.9</v>
      </c>
      <c r="W13">
        <f t="shared" si="5"/>
        <v>24.037500000000001</v>
      </c>
    </row>
  </sheetData>
  <conditionalFormatting sqref="D3:R12">
    <cfRule type="colorScale" priority="1">
      <colorScale>
        <cfvo type="min"/>
        <cfvo type="max"/>
        <color rgb="FFFF7128"/>
        <color theme="9"/>
      </colorScale>
    </cfRule>
    <cfRule type="cellIs" dxfId="13" priority="3" operator="equal">
      <formula>0</formula>
    </cfRule>
  </conditionalFormatting>
  <conditionalFormatting sqref="E7">
    <cfRule type="colorScale" priority="2">
      <colorScale>
        <cfvo type="min"/>
        <cfvo type="max"/>
        <color rgb="FFFF7128"/>
        <color theme="9"/>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079A-06F2-49DA-9898-39AB62A07745}">
  <dimension ref="B2:W13"/>
  <sheetViews>
    <sheetView topLeftCell="M1" workbookViewId="0">
      <selection activeCell="W13" sqref="W13"/>
    </sheetView>
  </sheetViews>
  <sheetFormatPr defaultRowHeight="15"/>
  <cols>
    <col min="2" max="2" width="21.85546875" bestFit="1" customWidth="1"/>
  </cols>
  <sheetData>
    <row r="2" spans="2:23">
      <c r="B2" t="s">
        <v>59</v>
      </c>
      <c r="D2" t="s">
        <v>19</v>
      </c>
      <c r="E2" t="s">
        <v>20</v>
      </c>
      <c r="F2" t="s">
        <v>21</v>
      </c>
      <c r="G2" t="s">
        <v>22</v>
      </c>
      <c r="H2" t="s">
        <v>23</v>
      </c>
      <c r="I2" t="s">
        <v>24</v>
      </c>
      <c r="J2" t="s">
        <v>25</v>
      </c>
      <c r="K2" t="s">
        <v>26</v>
      </c>
      <c r="L2" t="s">
        <v>27</v>
      </c>
      <c r="M2" t="s">
        <v>28</v>
      </c>
      <c r="N2" t="s">
        <v>29</v>
      </c>
      <c r="O2" t="s">
        <v>30</v>
      </c>
      <c r="P2" t="s">
        <v>40</v>
      </c>
      <c r="Q2" t="s">
        <v>41</v>
      </c>
      <c r="R2" t="s">
        <v>42</v>
      </c>
      <c r="S2" t="s">
        <v>50</v>
      </c>
      <c r="T2" t="s">
        <v>49</v>
      </c>
      <c r="U2" t="s">
        <v>48</v>
      </c>
      <c r="V2" t="s">
        <v>51</v>
      </c>
      <c r="W2" t="s">
        <v>77</v>
      </c>
    </row>
    <row r="3" spans="2:23">
      <c r="C3" t="s">
        <v>18</v>
      </c>
      <c r="D3" s="1">
        <v>0</v>
      </c>
      <c r="E3" s="1">
        <v>0</v>
      </c>
      <c r="F3" s="1">
        <v>26</v>
      </c>
      <c r="G3" s="1">
        <v>0</v>
      </c>
      <c r="H3" s="1">
        <v>30</v>
      </c>
      <c r="I3" s="1">
        <v>29</v>
      </c>
      <c r="J3" s="1">
        <v>34</v>
      </c>
      <c r="K3" s="1">
        <v>29</v>
      </c>
      <c r="L3" s="1">
        <v>25</v>
      </c>
      <c r="M3" s="1">
        <v>34</v>
      </c>
      <c r="N3" s="1"/>
      <c r="O3" s="1"/>
      <c r="P3" s="1"/>
      <c r="Q3" s="1"/>
      <c r="R3" s="1"/>
      <c r="S3">
        <f>SUM(D3:R3)</f>
        <v>207</v>
      </c>
      <c r="T3">
        <f>COUNT(D3:R3)</f>
        <v>10</v>
      </c>
      <c r="U3">
        <f>COUNTIF(D3:R3,0)</f>
        <v>3</v>
      </c>
      <c r="V3">
        <f>T3-U3</f>
        <v>7</v>
      </c>
      <c r="W3">
        <f>S3/V3</f>
        <v>29.571428571428573</v>
      </c>
    </row>
    <row r="4" spans="2:23">
      <c r="C4" t="s">
        <v>31</v>
      </c>
      <c r="D4" s="1">
        <v>28</v>
      </c>
      <c r="E4" s="1">
        <v>33</v>
      </c>
      <c r="F4" s="1">
        <v>31</v>
      </c>
      <c r="G4" s="1">
        <v>32</v>
      </c>
      <c r="H4" s="1">
        <v>30</v>
      </c>
      <c r="I4" s="1">
        <v>32</v>
      </c>
      <c r="J4" s="1">
        <v>0</v>
      </c>
      <c r="K4" s="1">
        <v>30</v>
      </c>
      <c r="L4" s="1"/>
      <c r="M4" s="1"/>
      <c r="N4" s="1"/>
      <c r="O4" s="1"/>
      <c r="P4" s="1"/>
      <c r="Q4" s="1"/>
      <c r="R4" s="1"/>
      <c r="S4">
        <f t="shared" ref="S4:S12" si="0">SUM(D4:R4)</f>
        <v>216</v>
      </c>
      <c r="T4">
        <f t="shared" ref="T4:T12" si="1">COUNT(D4:R4)</f>
        <v>8</v>
      </c>
      <c r="U4">
        <f t="shared" ref="U4:U12" si="2">COUNTIF(D4:R4,0)</f>
        <v>1</v>
      </c>
      <c r="V4">
        <f t="shared" ref="V4:V12" si="3">T4-U4</f>
        <v>7</v>
      </c>
      <c r="W4">
        <f t="shared" ref="W4:W12" si="4">S4/V4</f>
        <v>30.857142857142858</v>
      </c>
    </row>
    <row r="5" spans="2:23">
      <c r="C5" t="s">
        <v>32</v>
      </c>
      <c r="D5" s="1">
        <v>31</v>
      </c>
      <c r="E5" s="1">
        <v>27</v>
      </c>
      <c r="F5" s="1">
        <v>33</v>
      </c>
      <c r="G5" s="1">
        <v>0</v>
      </c>
      <c r="H5" s="1">
        <v>0</v>
      </c>
      <c r="I5" s="1">
        <v>31</v>
      </c>
      <c r="J5" s="1">
        <v>0</v>
      </c>
      <c r="K5" s="1">
        <v>29</v>
      </c>
      <c r="L5" s="1">
        <v>32</v>
      </c>
      <c r="M5" s="1">
        <v>0</v>
      </c>
      <c r="N5" s="1">
        <v>25</v>
      </c>
      <c r="O5" s="1"/>
      <c r="P5" s="1"/>
      <c r="Q5" s="1"/>
      <c r="R5" s="1"/>
      <c r="S5">
        <f t="shared" si="0"/>
        <v>208</v>
      </c>
      <c r="T5">
        <f t="shared" si="1"/>
        <v>11</v>
      </c>
      <c r="U5">
        <f t="shared" si="2"/>
        <v>4</v>
      </c>
      <c r="V5">
        <f t="shared" si="3"/>
        <v>7</v>
      </c>
      <c r="W5">
        <f t="shared" si="4"/>
        <v>29.714285714285715</v>
      </c>
    </row>
    <row r="6" spans="2:23">
      <c r="C6" t="s">
        <v>33</v>
      </c>
      <c r="D6" s="1">
        <v>0</v>
      </c>
      <c r="E6" s="1">
        <v>28</v>
      </c>
      <c r="F6" s="1">
        <v>0</v>
      </c>
      <c r="G6" s="1">
        <v>34</v>
      </c>
      <c r="H6" s="1">
        <v>35</v>
      </c>
      <c r="I6" s="1">
        <v>0</v>
      </c>
      <c r="J6" s="1">
        <v>26</v>
      </c>
      <c r="K6" s="1">
        <v>0</v>
      </c>
      <c r="L6" s="1">
        <v>35</v>
      </c>
      <c r="M6" s="1">
        <v>29</v>
      </c>
      <c r="N6" s="1">
        <v>0</v>
      </c>
      <c r="O6" s="1">
        <v>27</v>
      </c>
      <c r="P6" s="1"/>
      <c r="Q6" s="1"/>
      <c r="R6" s="1"/>
      <c r="S6">
        <f t="shared" si="0"/>
        <v>214</v>
      </c>
      <c r="T6">
        <f t="shared" si="1"/>
        <v>12</v>
      </c>
      <c r="U6">
        <f t="shared" si="2"/>
        <v>5</v>
      </c>
      <c r="V6">
        <f t="shared" si="3"/>
        <v>7</v>
      </c>
      <c r="W6">
        <f t="shared" si="4"/>
        <v>30.571428571428573</v>
      </c>
    </row>
    <row r="7" spans="2:23">
      <c r="C7" t="s">
        <v>34</v>
      </c>
      <c r="D7" s="1">
        <v>28</v>
      </c>
      <c r="E7" s="1">
        <v>0</v>
      </c>
      <c r="F7" s="1">
        <v>34</v>
      </c>
      <c r="G7" s="1">
        <v>0</v>
      </c>
      <c r="H7" s="1">
        <v>30</v>
      </c>
      <c r="I7" s="1">
        <v>0</v>
      </c>
      <c r="J7" s="1">
        <v>0</v>
      </c>
      <c r="K7" s="1">
        <v>25</v>
      </c>
      <c r="L7" s="1">
        <v>33</v>
      </c>
      <c r="M7" s="1">
        <v>26</v>
      </c>
      <c r="N7" s="1">
        <v>0</v>
      </c>
      <c r="O7" s="1">
        <v>0</v>
      </c>
      <c r="P7" s="1">
        <v>27</v>
      </c>
      <c r="Q7" s="1"/>
      <c r="R7" s="1"/>
      <c r="S7">
        <f t="shared" si="0"/>
        <v>203</v>
      </c>
      <c r="T7">
        <f t="shared" si="1"/>
        <v>13</v>
      </c>
      <c r="U7">
        <f t="shared" si="2"/>
        <v>6</v>
      </c>
      <c r="V7">
        <f t="shared" si="3"/>
        <v>7</v>
      </c>
      <c r="W7">
        <f t="shared" si="4"/>
        <v>29</v>
      </c>
    </row>
    <row r="8" spans="2:23">
      <c r="C8" t="s">
        <v>35</v>
      </c>
      <c r="D8" s="1">
        <v>29</v>
      </c>
      <c r="E8" s="1">
        <v>29</v>
      </c>
      <c r="F8" s="1">
        <v>0</v>
      </c>
      <c r="G8" s="1">
        <v>0</v>
      </c>
      <c r="H8" s="1">
        <v>0</v>
      </c>
      <c r="I8" s="1">
        <v>35</v>
      </c>
      <c r="J8" s="1">
        <v>26</v>
      </c>
      <c r="K8" s="1">
        <v>0</v>
      </c>
      <c r="L8" s="1">
        <v>33</v>
      </c>
      <c r="M8" s="1">
        <v>0</v>
      </c>
      <c r="N8" s="1">
        <v>0</v>
      </c>
      <c r="O8" s="1">
        <v>30</v>
      </c>
      <c r="P8" s="1">
        <v>25</v>
      </c>
      <c r="Q8" s="1"/>
      <c r="R8" s="1"/>
      <c r="S8">
        <f t="shared" si="0"/>
        <v>207</v>
      </c>
      <c r="T8">
        <f t="shared" si="1"/>
        <v>13</v>
      </c>
      <c r="U8">
        <f t="shared" si="2"/>
        <v>6</v>
      </c>
      <c r="V8">
        <f t="shared" si="3"/>
        <v>7</v>
      </c>
      <c r="W8">
        <f t="shared" si="4"/>
        <v>29.571428571428573</v>
      </c>
    </row>
    <row r="9" spans="2:23">
      <c r="C9" t="s">
        <v>36</v>
      </c>
      <c r="D9" s="1">
        <v>28</v>
      </c>
      <c r="E9" s="1">
        <v>31</v>
      </c>
      <c r="F9" s="1">
        <v>28</v>
      </c>
      <c r="G9" s="1">
        <v>0</v>
      </c>
      <c r="H9" s="1">
        <v>34</v>
      </c>
      <c r="I9" s="1">
        <v>31</v>
      </c>
      <c r="J9" s="1">
        <v>27</v>
      </c>
      <c r="K9" s="1">
        <v>32</v>
      </c>
      <c r="L9" s="1"/>
      <c r="M9" s="1"/>
      <c r="N9" s="1"/>
      <c r="O9" s="1"/>
      <c r="P9" s="1"/>
      <c r="Q9" s="1"/>
      <c r="R9" s="1"/>
      <c r="S9">
        <f t="shared" si="0"/>
        <v>211</v>
      </c>
      <c r="T9">
        <f t="shared" si="1"/>
        <v>8</v>
      </c>
      <c r="U9">
        <f t="shared" si="2"/>
        <v>1</v>
      </c>
      <c r="V9">
        <f t="shared" si="3"/>
        <v>7</v>
      </c>
      <c r="W9">
        <f t="shared" si="4"/>
        <v>30.142857142857142</v>
      </c>
    </row>
    <row r="10" spans="2:23">
      <c r="C10" t="s">
        <v>37</v>
      </c>
      <c r="D10" s="1">
        <v>32</v>
      </c>
      <c r="E10" s="1">
        <v>0</v>
      </c>
      <c r="F10" s="1">
        <v>25</v>
      </c>
      <c r="G10" s="1">
        <v>27</v>
      </c>
      <c r="H10" s="1">
        <v>26</v>
      </c>
      <c r="I10" s="1">
        <v>0</v>
      </c>
      <c r="J10" s="1">
        <v>27</v>
      </c>
      <c r="K10" s="1">
        <v>31</v>
      </c>
      <c r="L10" s="1">
        <v>25</v>
      </c>
      <c r="M10" s="1">
        <v>27</v>
      </c>
      <c r="N10" s="1"/>
      <c r="O10" s="1"/>
      <c r="P10" s="1"/>
      <c r="Q10" s="1"/>
      <c r="R10" s="1"/>
      <c r="S10">
        <f t="shared" si="0"/>
        <v>220</v>
      </c>
      <c r="T10">
        <f t="shared" si="1"/>
        <v>10</v>
      </c>
      <c r="U10">
        <f t="shared" si="2"/>
        <v>2</v>
      </c>
      <c r="V10">
        <f t="shared" si="3"/>
        <v>8</v>
      </c>
      <c r="W10">
        <f t="shared" si="4"/>
        <v>27.5</v>
      </c>
    </row>
    <row r="11" spans="2:23">
      <c r="C11" t="s">
        <v>38</v>
      </c>
      <c r="D11" s="1">
        <v>29</v>
      </c>
      <c r="E11" s="1">
        <v>30</v>
      </c>
      <c r="F11" s="1">
        <v>0</v>
      </c>
      <c r="G11" s="1">
        <v>32</v>
      </c>
      <c r="H11" s="1">
        <v>29</v>
      </c>
      <c r="I11" s="1">
        <v>30</v>
      </c>
      <c r="J11" s="1">
        <v>27</v>
      </c>
      <c r="K11" s="1">
        <v>27</v>
      </c>
      <c r="L11" s="1"/>
      <c r="M11" s="1"/>
      <c r="N11" s="1"/>
      <c r="O11" s="1"/>
      <c r="P11" s="1"/>
      <c r="Q11" s="1"/>
      <c r="R11" s="1"/>
      <c r="S11">
        <f t="shared" si="0"/>
        <v>204</v>
      </c>
      <c r="T11">
        <f t="shared" si="1"/>
        <v>8</v>
      </c>
      <c r="U11">
        <f t="shared" si="2"/>
        <v>1</v>
      </c>
      <c r="V11">
        <f t="shared" si="3"/>
        <v>7</v>
      </c>
      <c r="W11">
        <f t="shared" si="4"/>
        <v>29.142857142857142</v>
      </c>
    </row>
    <row r="12" spans="2:23">
      <c r="C12" t="s">
        <v>39</v>
      </c>
      <c r="D12" s="1">
        <v>0</v>
      </c>
      <c r="E12" s="1">
        <v>0</v>
      </c>
      <c r="F12" s="1">
        <v>32</v>
      </c>
      <c r="G12" s="1">
        <v>33</v>
      </c>
      <c r="H12" s="1">
        <v>0</v>
      </c>
      <c r="I12" s="1">
        <v>35</v>
      </c>
      <c r="J12" s="1">
        <v>32</v>
      </c>
      <c r="K12" s="1">
        <v>29</v>
      </c>
      <c r="L12" s="1">
        <v>0</v>
      </c>
      <c r="M12" s="1">
        <v>26</v>
      </c>
      <c r="N12" s="1">
        <v>0</v>
      </c>
      <c r="O12" s="1">
        <v>0</v>
      </c>
      <c r="P12" s="1">
        <v>28</v>
      </c>
      <c r="Q12" s="1"/>
      <c r="R12" s="1"/>
      <c r="S12">
        <f t="shared" si="0"/>
        <v>215</v>
      </c>
      <c r="T12">
        <f t="shared" si="1"/>
        <v>13</v>
      </c>
      <c r="U12">
        <f t="shared" si="2"/>
        <v>6</v>
      </c>
      <c r="V12">
        <f t="shared" si="3"/>
        <v>7</v>
      </c>
      <c r="W12">
        <f t="shared" si="4"/>
        <v>30.714285714285715</v>
      </c>
    </row>
    <row r="13" spans="2:23">
      <c r="S13" t="s">
        <v>52</v>
      </c>
      <c r="T13">
        <f>AVERAGE(T3:T12)</f>
        <v>10.6</v>
      </c>
      <c r="U13">
        <f t="shared" ref="U13:W13" si="5">AVERAGE(U3:U12)</f>
        <v>3.5</v>
      </c>
      <c r="V13">
        <f t="shared" si="5"/>
        <v>7.1</v>
      </c>
      <c r="W13">
        <f t="shared" si="5"/>
        <v>29.678571428571434</v>
      </c>
    </row>
  </sheetData>
  <conditionalFormatting sqref="D3:R12">
    <cfRule type="colorScale" priority="1">
      <colorScale>
        <cfvo type="min"/>
        <cfvo type="max"/>
        <color rgb="FFFF7128"/>
        <color theme="9"/>
      </colorScale>
    </cfRule>
    <cfRule type="cellIs" dxfId="12" priority="3" operator="equal">
      <formula>0</formula>
    </cfRule>
  </conditionalFormatting>
  <conditionalFormatting sqref="E7">
    <cfRule type="colorScale" priority="2">
      <colorScale>
        <cfvo type="min"/>
        <cfvo type="max"/>
        <color rgb="FFFF7128"/>
        <color theme="9"/>
      </colorScale>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3C4D7-11BE-473C-9A52-E91045D4DB7A}">
  <dimension ref="B2:W13"/>
  <sheetViews>
    <sheetView topLeftCell="M1" workbookViewId="0">
      <selection activeCell="T13" sqref="T13"/>
    </sheetView>
  </sheetViews>
  <sheetFormatPr defaultRowHeight="15"/>
  <cols>
    <col min="2" max="2" width="21.85546875" bestFit="1" customWidth="1"/>
  </cols>
  <sheetData>
    <row r="2" spans="2:23">
      <c r="B2" t="s">
        <v>60</v>
      </c>
      <c r="D2" t="s">
        <v>19</v>
      </c>
      <c r="E2" t="s">
        <v>20</v>
      </c>
      <c r="F2" t="s">
        <v>21</v>
      </c>
      <c r="G2" t="s">
        <v>22</v>
      </c>
      <c r="H2" t="s">
        <v>23</v>
      </c>
      <c r="I2" t="s">
        <v>24</v>
      </c>
      <c r="J2" t="s">
        <v>25</v>
      </c>
      <c r="K2" t="s">
        <v>26</v>
      </c>
      <c r="L2" t="s">
        <v>27</v>
      </c>
      <c r="M2" t="s">
        <v>28</v>
      </c>
      <c r="N2" t="s">
        <v>29</v>
      </c>
      <c r="O2" t="s">
        <v>30</v>
      </c>
      <c r="P2" t="s">
        <v>40</v>
      </c>
      <c r="Q2" t="s">
        <v>41</v>
      </c>
      <c r="R2" t="s">
        <v>42</v>
      </c>
      <c r="S2" t="s">
        <v>50</v>
      </c>
      <c r="T2" t="s">
        <v>49</v>
      </c>
      <c r="U2" t="s">
        <v>48</v>
      </c>
      <c r="V2" t="s">
        <v>51</v>
      </c>
      <c r="W2" t="s">
        <v>77</v>
      </c>
    </row>
    <row r="3" spans="2:23">
      <c r="C3" t="s">
        <v>18</v>
      </c>
      <c r="D3" s="1">
        <v>37</v>
      </c>
      <c r="E3" s="1">
        <v>30</v>
      </c>
      <c r="F3" s="1">
        <v>0</v>
      </c>
      <c r="G3" s="1">
        <v>0</v>
      </c>
      <c r="H3" s="1">
        <v>38</v>
      </c>
      <c r="I3" s="1">
        <v>34</v>
      </c>
      <c r="J3" s="1">
        <v>31</v>
      </c>
      <c r="K3" s="1">
        <v>0</v>
      </c>
      <c r="L3" s="1">
        <v>34</v>
      </c>
      <c r="M3" s="1"/>
      <c r="N3" s="1"/>
      <c r="O3" s="1"/>
      <c r="P3" s="1"/>
      <c r="Q3" s="1"/>
      <c r="R3" s="1"/>
      <c r="S3">
        <f>SUM(D3:R3)</f>
        <v>204</v>
      </c>
      <c r="T3">
        <f>COUNT(D3:R3)</f>
        <v>9</v>
      </c>
      <c r="U3">
        <f>COUNTIF(D3:R3,0)</f>
        <v>3</v>
      </c>
      <c r="V3">
        <f>T3-U3</f>
        <v>6</v>
      </c>
      <c r="W3">
        <f>S3/V3</f>
        <v>34</v>
      </c>
    </row>
    <row r="4" spans="2:23">
      <c r="C4" t="s">
        <v>31</v>
      </c>
      <c r="D4" s="1">
        <v>35</v>
      </c>
      <c r="E4" s="1">
        <v>0</v>
      </c>
      <c r="F4" s="1">
        <v>0</v>
      </c>
      <c r="G4" s="1">
        <v>32</v>
      </c>
      <c r="H4" s="1">
        <v>0</v>
      </c>
      <c r="I4" s="1">
        <v>31</v>
      </c>
      <c r="J4" s="1">
        <v>35</v>
      </c>
      <c r="K4" s="1">
        <v>31</v>
      </c>
      <c r="L4" s="1">
        <v>35</v>
      </c>
      <c r="M4" s="1">
        <v>57</v>
      </c>
      <c r="N4" s="1"/>
      <c r="O4" s="1"/>
      <c r="P4" s="1"/>
      <c r="Q4" s="1"/>
      <c r="R4" s="1"/>
      <c r="S4">
        <f t="shared" ref="S4:S12" si="0">SUM(D4:R4)</f>
        <v>256</v>
      </c>
      <c r="T4">
        <f t="shared" ref="T4:T12" si="1">COUNT(D4:R4)</f>
        <v>10</v>
      </c>
      <c r="U4">
        <f t="shared" ref="U4:U12" si="2">COUNTIF(D4:R4,0)</f>
        <v>3</v>
      </c>
      <c r="V4">
        <f t="shared" ref="V4:V12" si="3">T4-U4</f>
        <v>7</v>
      </c>
      <c r="W4">
        <f t="shared" ref="W4:W12" si="4">S4/V4</f>
        <v>36.571428571428569</v>
      </c>
    </row>
    <row r="5" spans="2:23">
      <c r="C5" t="s">
        <v>32</v>
      </c>
      <c r="D5" s="1">
        <v>0</v>
      </c>
      <c r="E5" s="1">
        <v>34</v>
      </c>
      <c r="F5" s="1">
        <v>38</v>
      </c>
      <c r="G5" s="1">
        <v>30</v>
      </c>
      <c r="H5" s="1">
        <v>37</v>
      </c>
      <c r="I5" s="1">
        <v>37</v>
      </c>
      <c r="J5" s="1">
        <v>37</v>
      </c>
      <c r="K5" s="1"/>
      <c r="L5" s="1"/>
      <c r="M5" s="1"/>
      <c r="N5" s="1"/>
      <c r="O5" s="1"/>
      <c r="P5" s="1"/>
      <c r="Q5" s="1"/>
      <c r="R5" s="1"/>
      <c r="S5">
        <f t="shared" si="0"/>
        <v>213</v>
      </c>
      <c r="T5">
        <f t="shared" si="1"/>
        <v>7</v>
      </c>
      <c r="U5">
        <f t="shared" si="2"/>
        <v>1</v>
      </c>
      <c r="V5">
        <f t="shared" si="3"/>
        <v>6</v>
      </c>
      <c r="W5">
        <f t="shared" si="4"/>
        <v>35.5</v>
      </c>
    </row>
    <row r="6" spans="2:23">
      <c r="C6" t="s">
        <v>33</v>
      </c>
      <c r="D6" s="1">
        <v>0</v>
      </c>
      <c r="E6" s="1">
        <v>32</v>
      </c>
      <c r="F6" s="1">
        <v>33</v>
      </c>
      <c r="G6" s="1">
        <v>0</v>
      </c>
      <c r="H6" s="1">
        <v>42</v>
      </c>
      <c r="I6" s="1">
        <v>35</v>
      </c>
      <c r="J6" s="1">
        <v>0</v>
      </c>
      <c r="K6" s="1">
        <v>34</v>
      </c>
      <c r="L6" s="1">
        <v>0</v>
      </c>
      <c r="M6" s="1">
        <v>0</v>
      </c>
      <c r="N6" s="1">
        <v>38</v>
      </c>
      <c r="O6" s="1"/>
      <c r="P6" s="1"/>
      <c r="Q6" s="1"/>
      <c r="R6" s="1"/>
      <c r="S6">
        <f t="shared" si="0"/>
        <v>214</v>
      </c>
      <c r="T6">
        <f t="shared" si="1"/>
        <v>11</v>
      </c>
      <c r="U6">
        <f t="shared" si="2"/>
        <v>5</v>
      </c>
      <c r="V6">
        <f t="shared" si="3"/>
        <v>6</v>
      </c>
      <c r="W6">
        <f t="shared" si="4"/>
        <v>35.666666666666664</v>
      </c>
    </row>
    <row r="7" spans="2:23">
      <c r="C7" t="s">
        <v>34</v>
      </c>
      <c r="D7" s="1">
        <v>37</v>
      </c>
      <c r="E7" s="1">
        <v>0</v>
      </c>
      <c r="F7" s="1">
        <v>33</v>
      </c>
      <c r="G7" s="1">
        <v>33</v>
      </c>
      <c r="H7" s="1">
        <v>0</v>
      </c>
      <c r="I7" s="1">
        <v>0</v>
      </c>
      <c r="J7" s="1">
        <v>0</v>
      </c>
      <c r="K7" s="1">
        <v>33</v>
      </c>
      <c r="L7" s="1">
        <v>32</v>
      </c>
      <c r="M7" s="1">
        <v>32</v>
      </c>
      <c r="N7" s="1"/>
      <c r="O7" s="1"/>
      <c r="P7" s="1"/>
      <c r="Q7" s="1"/>
      <c r="R7" s="1"/>
      <c r="S7">
        <f t="shared" si="0"/>
        <v>200</v>
      </c>
      <c r="T7">
        <f t="shared" si="1"/>
        <v>10</v>
      </c>
      <c r="U7">
        <f t="shared" si="2"/>
        <v>4</v>
      </c>
      <c r="V7">
        <f t="shared" si="3"/>
        <v>6</v>
      </c>
      <c r="W7">
        <f t="shared" si="4"/>
        <v>33.333333333333336</v>
      </c>
    </row>
    <row r="8" spans="2:23">
      <c r="C8" t="s">
        <v>35</v>
      </c>
      <c r="D8" s="1">
        <v>36</v>
      </c>
      <c r="E8" s="1">
        <v>30</v>
      </c>
      <c r="F8" s="1">
        <v>36</v>
      </c>
      <c r="G8" s="1">
        <v>34</v>
      </c>
      <c r="H8" s="1">
        <v>30</v>
      </c>
      <c r="I8" s="1">
        <v>30</v>
      </c>
      <c r="J8" s="1">
        <v>35</v>
      </c>
      <c r="K8" s="1"/>
      <c r="L8" s="1"/>
      <c r="M8" s="1"/>
      <c r="N8" s="1"/>
      <c r="O8" s="1"/>
      <c r="P8" s="1"/>
      <c r="Q8" s="1"/>
      <c r="R8" s="1"/>
      <c r="S8">
        <f t="shared" si="0"/>
        <v>231</v>
      </c>
      <c r="T8">
        <f t="shared" si="1"/>
        <v>7</v>
      </c>
      <c r="U8">
        <f t="shared" si="2"/>
        <v>0</v>
      </c>
      <c r="V8">
        <f t="shared" si="3"/>
        <v>7</v>
      </c>
      <c r="W8">
        <f t="shared" si="4"/>
        <v>33</v>
      </c>
    </row>
    <row r="9" spans="2:23">
      <c r="C9" t="s">
        <v>36</v>
      </c>
      <c r="D9" s="1">
        <v>0</v>
      </c>
      <c r="E9" s="1">
        <v>0</v>
      </c>
      <c r="F9" s="1">
        <v>0</v>
      </c>
      <c r="G9" s="1">
        <v>33</v>
      </c>
      <c r="H9" s="1">
        <v>40</v>
      </c>
      <c r="I9" s="1">
        <v>30</v>
      </c>
      <c r="J9" s="1">
        <v>30</v>
      </c>
      <c r="K9" s="1">
        <v>0</v>
      </c>
      <c r="L9" s="1">
        <v>34</v>
      </c>
      <c r="M9" s="1">
        <v>32</v>
      </c>
      <c r="N9" s="1">
        <v>32</v>
      </c>
      <c r="O9" s="1"/>
      <c r="P9" s="1"/>
      <c r="Q9" s="1"/>
      <c r="R9" s="1"/>
      <c r="S9">
        <f t="shared" si="0"/>
        <v>231</v>
      </c>
      <c r="T9">
        <f t="shared" si="1"/>
        <v>11</v>
      </c>
      <c r="U9">
        <f t="shared" si="2"/>
        <v>4</v>
      </c>
      <c r="V9">
        <f t="shared" si="3"/>
        <v>7</v>
      </c>
      <c r="W9">
        <f t="shared" si="4"/>
        <v>33</v>
      </c>
    </row>
    <row r="10" spans="2:23">
      <c r="C10" t="s">
        <v>37</v>
      </c>
      <c r="D10" s="1">
        <v>0</v>
      </c>
      <c r="E10" s="1">
        <v>0</v>
      </c>
      <c r="F10" s="1">
        <v>34</v>
      </c>
      <c r="G10" s="1">
        <v>31</v>
      </c>
      <c r="H10" s="1">
        <v>34</v>
      </c>
      <c r="I10" s="1">
        <v>0</v>
      </c>
      <c r="J10" s="1">
        <v>36</v>
      </c>
      <c r="K10" s="1">
        <v>36</v>
      </c>
      <c r="L10" s="1">
        <v>30</v>
      </c>
      <c r="M10" s="1"/>
      <c r="N10" s="1"/>
      <c r="O10" s="1"/>
      <c r="P10" s="1"/>
      <c r="Q10" s="1"/>
      <c r="R10" s="1"/>
      <c r="S10">
        <f t="shared" si="0"/>
        <v>201</v>
      </c>
      <c r="T10">
        <f t="shared" si="1"/>
        <v>9</v>
      </c>
      <c r="U10">
        <f t="shared" si="2"/>
        <v>3</v>
      </c>
      <c r="V10">
        <f t="shared" si="3"/>
        <v>6</v>
      </c>
      <c r="W10">
        <f t="shared" si="4"/>
        <v>33.5</v>
      </c>
    </row>
    <row r="11" spans="2:23">
      <c r="C11" t="s">
        <v>38</v>
      </c>
      <c r="D11" s="1">
        <v>35</v>
      </c>
      <c r="E11" s="1">
        <v>0</v>
      </c>
      <c r="F11" s="1">
        <v>30</v>
      </c>
      <c r="G11" s="1">
        <v>36</v>
      </c>
      <c r="H11" s="1">
        <v>0</v>
      </c>
      <c r="I11" s="1">
        <v>0</v>
      </c>
      <c r="J11" s="1">
        <v>36</v>
      </c>
      <c r="K11" s="1">
        <v>0</v>
      </c>
      <c r="L11" s="1">
        <v>37</v>
      </c>
      <c r="M11" s="1">
        <v>30</v>
      </c>
      <c r="N11" s="1"/>
      <c r="O11" s="1"/>
      <c r="P11" s="1"/>
      <c r="Q11" s="1"/>
      <c r="R11" s="1"/>
      <c r="S11">
        <f t="shared" si="0"/>
        <v>204</v>
      </c>
      <c r="T11">
        <f t="shared" si="1"/>
        <v>10</v>
      </c>
      <c r="U11">
        <f t="shared" si="2"/>
        <v>4</v>
      </c>
      <c r="V11">
        <f t="shared" si="3"/>
        <v>6</v>
      </c>
      <c r="W11">
        <f t="shared" si="4"/>
        <v>34</v>
      </c>
    </row>
    <row r="12" spans="2:23">
      <c r="C12" t="s">
        <v>39</v>
      </c>
      <c r="D12" s="1">
        <v>31</v>
      </c>
      <c r="E12" s="1">
        <v>0</v>
      </c>
      <c r="F12" s="1">
        <v>37</v>
      </c>
      <c r="G12" s="1">
        <v>0</v>
      </c>
      <c r="H12" s="1">
        <v>30</v>
      </c>
      <c r="I12" s="1">
        <v>31</v>
      </c>
      <c r="J12" s="1">
        <v>33</v>
      </c>
      <c r="K12" s="1">
        <v>36</v>
      </c>
      <c r="L12" s="1">
        <v>30</v>
      </c>
      <c r="M12" s="1"/>
      <c r="N12" s="1"/>
      <c r="O12" s="1"/>
      <c r="P12" s="1"/>
      <c r="Q12" s="1"/>
      <c r="R12" s="1"/>
      <c r="S12">
        <f t="shared" si="0"/>
        <v>228</v>
      </c>
      <c r="T12">
        <f t="shared" si="1"/>
        <v>9</v>
      </c>
      <c r="U12">
        <f t="shared" si="2"/>
        <v>2</v>
      </c>
      <c r="V12">
        <f t="shared" si="3"/>
        <v>7</v>
      </c>
      <c r="W12">
        <f t="shared" si="4"/>
        <v>32.571428571428569</v>
      </c>
    </row>
    <row r="13" spans="2:23">
      <c r="S13" t="s">
        <v>52</v>
      </c>
      <c r="T13">
        <f>AVERAGE(T3:T12)</f>
        <v>9.3000000000000007</v>
      </c>
      <c r="U13">
        <f t="shared" ref="U13:W13" si="5">AVERAGE(U3:U12)</f>
        <v>2.9</v>
      </c>
      <c r="V13">
        <f t="shared" si="5"/>
        <v>6.4</v>
      </c>
      <c r="W13">
        <f t="shared" si="5"/>
        <v>34.114285714285714</v>
      </c>
    </row>
  </sheetData>
  <conditionalFormatting sqref="D3:R12">
    <cfRule type="colorScale" priority="1">
      <colorScale>
        <cfvo type="min"/>
        <cfvo type="max"/>
        <color rgb="FFFF7128"/>
        <color theme="9"/>
      </colorScale>
    </cfRule>
    <cfRule type="cellIs" dxfId="11" priority="3" operator="equal">
      <formula>0</formula>
    </cfRule>
  </conditionalFormatting>
  <conditionalFormatting sqref="E7">
    <cfRule type="colorScale" priority="2">
      <colorScale>
        <cfvo type="min"/>
        <cfvo type="max"/>
        <color rgb="FFFF7128"/>
        <color theme="9"/>
      </colorScale>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13226-594A-4969-9983-EE761CD7AEEA}">
  <dimension ref="B2:AB13"/>
  <sheetViews>
    <sheetView topLeftCell="K1" workbookViewId="0">
      <selection activeCell="Y9" sqref="Y9"/>
    </sheetView>
  </sheetViews>
  <sheetFormatPr defaultRowHeight="15"/>
  <cols>
    <col min="2" max="2" width="21.85546875" bestFit="1" customWidth="1"/>
  </cols>
  <sheetData>
    <row r="2" spans="2:28">
      <c r="B2" t="s">
        <v>61</v>
      </c>
      <c r="D2" t="s">
        <v>19</v>
      </c>
      <c r="E2" t="s">
        <v>20</v>
      </c>
      <c r="F2" t="s">
        <v>21</v>
      </c>
      <c r="G2" t="s">
        <v>22</v>
      </c>
      <c r="H2" t="s">
        <v>23</v>
      </c>
      <c r="I2" t="s">
        <v>24</v>
      </c>
      <c r="J2" t="s">
        <v>25</v>
      </c>
      <c r="K2" t="s">
        <v>26</v>
      </c>
      <c r="L2" t="s">
        <v>27</v>
      </c>
      <c r="M2" t="s">
        <v>28</v>
      </c>
      <c r="N2" t="s">
        <v>29</v>
      </c>
      <c r="O2" t="s">
        <v>30</v>
      </c>
      <c r="P2" t="s">
        <v>40</v>
      </c>
      <c r="Q2" t="s">
        <v>41</v>
      </c>
      <c r="R2" t="s">
        <v>42</v>
      </c>
      <c r="S2" t="s">
        <v>72</v>
      </c>
      <c r="T2" t="s">
        <v>73</v>
      </c>
      <c r="U2" t="s">
        <v>74</v>
      </c>
      <c r="V2" t="s">
        <v>75</v>
      </c>
      <c r="W2" t="s">
        <v>76</v>
      </c>
      <c r="X2" t="s">
        <v>50</v>
      </c>
      <c r="Y2" t="s">
        <v>49</v>
      </c>
      <c r="Z2" t="s">
        <v>48</v>
      </c>
      <c r="AA2" t="s">
        <v>51</v>
      </c>
      <c r="AB2" t="s">
        <v>77</v>
      </c>
    </row>
    <row r="3" spans="2:28">
      <c r="C3" t="s">
        <v>18</v>
      </c>
      <c r="D3" s="1">
        <v>36</v>
      </c>
      <c r="E3" s="1">
        <v>38</v>
      </c>
      <c r="F3" s="1">
        <v>0</v>
      </c>
      <c r="G3" s="1">
        <v>44</v>
      </c>
      <c r="H3" s="1">
        <v>0</v>
      </c>
      <c r="I3" s="1">
        <v>42</v>
      </c>
      <c r="J3" s="1">
        <v>0</v>
      </c>
      <c r="K3" s="1">
        <v>37</v>
      </c>
      <c r="L3" s="1">
        <v>37</v>
      </c>
      <c r="M3" s="1"/>
      <c r="N3" s="1"/>
      <c r="O3" s="1"/>
      <c r="P3" s="1"/>
      <c r="Q3" s="1"/>
      <c r="R3" s="1"/>
      <c r="S3" s="1"/>
      <c r="T3" s="1"/>
      <c r="U3" s="1"/>
      <c r="V3" s="1"/>
      <c r="W3" s="1"/>
      <c r="X3">
        <f>SUM(D3:W3)</f>
        <v>234</v>
      </c>
      <c r="Y3">
        <f>COUNT(D3:W3)</f>
        <v>9</v>
      </c>
      <c r="Z3">
        <f>COUNTIF(D3:W3,0)</f>
        <v>3</v>
      </c>
      <c r="AA3">
        <f>Y3-Z3</f>
        <v>6</v>
      </c>
      <c r="AB3">
        <f>X3/AA3</f>
        <v>39</v>
      </c>
    </row>
    <row r="4" spans="2:28">
      <c r="C4" t="s">
        <v>31</v>
      </c>
      <c r="D4" s="1">
        <v>0</v>
      </c>
      <c r="E4" s="1">
        <v>62</v>
      </c>
      <c r="F4" s="1">
        <v>0</v>
      </c>
      <c r="G4" s="1">
        <v>0</v>
      </c>
      <c r="H4" s="1">
        <v>0</v>
      </c>
      <c r="I4" s="1">
        <v>0</v>
      </c>
      <c r="J4" s="1">
        <v>37</v>
      </c>
      <c r="K4" s="1">
        <v>37</v>
      </c>
      <c r="L4" s="1">
        <v>38</v>
      </c>
      <c r="M4" s="1">
        <v>0</v>
      </c>
      <c r="N4" s="1">
        <v>43</v>
      </c>
      <c r="O4" s="1"/>
      <c r="P4" s="1"/>
      <c r="Q4" s="1"/>
      <c r="R4" s="1"/>
      <c r="S4" s="1"/>
      <c r="T4" s="1"/>
      <c r="U4" s="1"/>
      <c r="V4" s="1"/>
      <c r="W4" s="1"/>
      <c r="X4">
        <f t="shared" ref="X4:X12" si="0">SUM(D4:W4)</f>
        <v>217</v>
      </c>
      <c r="Y4">
        <f t="shared" ref="Y4:Y12" si="1">COUNT(D4:W4)</f>
        <v>11</v>
      </c>
      <c r="Z4">
        <f t="shared" ref="Z4:Z12" si="2">COUNTIF(D4:W4,0)</f>
        <v>6</v>
      </c>
      <c r="AA4">
        <f t="shared" ref="AA4:AA12" si="3">Y4-Z4</f>
        <v>5</v>
      </c>
      <c r="AB4">
        <f t="shared" ref="AB4:AB12" si="4">X4/AA4</f>
        <v>43.4</v>
      </c>
    </row>
    <row r="5" spans="2:28">
      <c r="C5" t="s">
        <v>32</v>
      </c>
      <c r="D5" s="1">
        <v>38</v>
      </c>
      <c r="E5" s="1">
        <v>0</v>
      </c>
      <c r="F5" s="1">
        <v>0</v>
      </c>
      <c r="G5" s="1">
        <v>0</v>
      </c>
      <c r="H5" s="1">
        <v>40</v>
      </c>
      <c r="I5" s="1">
        <v>0</v>
      </c>
      <c r="J5" s="1">
        <v>0</v>
      </c>
      <c r="K5" s="1">
        <v>0</v>
      </c>
      <c r="L5" s="1">
        <v>43</v>
      </c>
      <c r="M5" s="1">
        <v>42</v>
      </c>
      <c r="N5" s="1">
        <v>38</v>
      </c>
      <c r="O5" s="1"/>
      <c r="P5" s="1"/>
      <c r="Q5" s="1"/>
      <c r="R5" s="1"/>
      <c r="S5" s="1"/>
      <c r="T5" s="1"/>
      <c r="U5" s="1"/>
      <c r="V5" s="1"/>
      <c r="W5" s="1"/>
      <c r="X5">
        <f t="shared" si="0"/>
        <v>201</v>
      </c>
      <c r="Y5">
        <f t="shared" si="1"/>
        <v>11</v>
      </c>
      <c r="Z5">
        <f t="shared" si="2"/>
        <v>6</v>
      </c>
      <c r="AA5">
        <f t="shared" si="3"/>
        <v>5</v>
      </c>
      <c r="AB5">
        <f t="shared" si="4"/>
        <v>40.200000000000003</v>
      </c>
    </row>
    <row r="6" spans="2:28">
      <c r="C6" t="s">
        <v>33</v>
      </c>
      <c r="D6" s="1">
        <v>0</v>
      </c>
      <c r="E6" s="1">
        <v>0</v>
      </c>
      <c r="F6" s="1">
        <v>0</v>
      </c>
      <c r="G6" s="1">
        <v>0</v>
      </c>
      <c r="H6" s="1">
        <v>0</v>
      </c>
      <c r="I6" s="1">
        <v>57</v>
      </c>
      <c r="J6" s="1">
        <v>0</v>
      </c>
      <c r="K6" s="1">
        <v>0</v>
      </c>
      <c r="L6" s="1">
        <v>0</v>
      </c>
      <c r="M6" s="1">
        <v>40</v>
      </c>
      <c r="N6" s="1">
        <v>0</v>
      </c>
      <c r="O6" s="1">
        <v>38</v>
      </c>
      <c r="P6" s="1">
        <v>0</v>
      </c>
      <c r="Q6" s="1">
        <v>43</v>
      </c>
      <c r="R6" s="1">
        <v>42</v>
      </c>
      <c r="S6" s="1"/>
      <c r="T6" s="1"/>
      <c r="U6" s="1"/>
      <c r="V6" s="1"/>
      <c r="W6" s="1"/>
      <c r="X6">
        <f t="shared" si="0"/>
        <v>220</v>
      </c>
      <c r="Y6">
        <f t="shared" si="1"/>
        <v>15</v>
      </c>
      <c r="Z6">
        <f t="shared" si="2"/>
        <v>10</v>
      </c>
      <c r="AA6">
        <f t="shared" si="3"/>
        <v>5</v>
      </c>
      <c r="AB6">
        <f t="shared" si="4"/>
        <v>44</v>
      </c>
    </row>
    <row r="7" spans="2:28">
      <c r="C7" t="s">
        <v>34</v>
      </c>
      <c r="D7" s="1">
        <v>0</v>
      </c>
      <c r="E7" s="1">
        <v>36</v>
      </c>
      <c r="F7" s="1">
        <v>0</v>
      </c>
      <c r="G7" s="1">
        <v>0</v>
      </c>
      <c r="H7" s="1">
        <v>0</v>
      </c>
      <c r="I7" s="1">
        <v>40</v>
      </c>
      <c r="J7" s="1">
        <v>0</v>
      </c>
      <c r="K7" s="1">
        <v>0</v>
      </c>
      <c r="L7" s="1">
        <v>35</v>
      </c>
      <c r="M7" s="1">
        <v>39</v>
      </c>
      <c r="N7" s="1">
        <v>36</v>
      </c>
      <c r="O7" s="1">
        <v>42</v>
      </c>
      <c r="P7" s="1"/>
      <c r="Q7" s="1"/>
      <c r="R7" s="1"/>
      <c r="S7" s="1"/>
      <c r="T7" s="1"/>
      <c r="U7" s="1"/>
      <c r="V7" s="1"/>
      <c r="W7" s="1"/>
      <c r="X7">
        <f t="shared" si="0"/>
        <v>228</v>
      </c>
      <c r="Y7">
        <f t="shared" si="1"/>
        <v>12</v>
      </c>
      <c r="Z7">
        <f t="shared" si="2"/>
        <v>6</v>
      </c>
      <c r="AA7">
        <f t="shared" si="3"/>
        <v>6</v>
      </c>
      <c r="AB7">
        <f t="shared" si="4"/>
        <v>38</v>
      </c>
    </row>
    <row r="8" spans="2:28">
      <c r="C8" t="s">
        <v>35</v>
      </c>
      <c r="D8" s="1">
        <v>38</v>
      </c>
      <c r="E8" s="1">
        <v>43</v>
      </c>
      <c r="F8" s="1">
        <v>0</v>
      </c>
      <c r="G8" s="1">
        <v>0</v>
      </c>
      <c r="H8" s="1">
        <v>39</v>
      </c>
      <c r="I8" s="1">
        <v>42</v>
      </c>
      <c r="J8" s="1">
        <v>0</v>
      </c>
      <c r="K8" s="1">
        <v>0</v>
      </c>
      <c r="L8" s="1">
        <v>38</v>
      </c>
      <c r="M8" s="1"/>
      <c r="N8" s="1"/>
      <c r="O8" s="1"/>
      <c r="P8" s="1"/>
      <c r="Q8" s="1"/>
      <c r="R8" s="1"/>
      <c r="S8" s="1"/>
      <c r="T8" s="1"/>
      <c r="U8" s="1"/>
      <c r="V8" s="1"/>
      <c r="W8" s="1"/>
      <c r="X8">
        <f t="shared" si="0"/>
        <v>200</v>
      </c>
      <c r="Y8">
        <f t="shared" si="1"/>
        <v>9</v>
      </c>
      <c r="Z8">
        <f t="shared" si="2"/>
        <v>4</v>
      </c>
      <c r="AA8">
        <f t="shared" si="3"/>
        <v>5</v>
      </c>
      <c r="AB8">
        <f t="shared" si="4"/>
        <v>40</v>
      </c>
    </row>
    <row r="9" spans="2:28">
      <c r="C9" t="s">
        <v>36</v>
      </c>
      <c r="D9" s="1">
        <v>0</v>
      </c>
      <c r="E9" s="1">
        <v>0</v>
      </c>
      <c r="F9" s="1">
        <v>39</v>
      </c>
      <c r="G9" s="1">
        <v>0</v>
      </c>
      <c r="H9" s="1">
        <v>44</v>
      </c>
      <c r="I9" s="1">
        <v>0</v>
      </c>
      <c r="J9" s="1">
        <v>0</v>
      </c>
      <c r="K9" s="1">
        <v>0</v>
      </c>
      <c r="L9" s="1">
        <v>0</v>
      </c>
      <c r="M9" s="1">
        <v>0</v>
      </c>
      <c r="N9" s="1">
        <v>36</v>
      </c>
      <c r="O9" s="1">
        <v>0</v>
      </c>
      <c r="P9" s="1">
        <v>0</v>
      </c>
      <c r="Q9" s="1">
        <v>0</v>
      </c>
      <c r="R9" s="1">
        <v>0</v>
      </c>
      <c r="S9" s="1">
        <v>0</v>
      </c>
      <c r="T9" s="1">
        <v>0</v>
      </c>
      <c r="U9" s="1">
        <v>45</v>
      </c>
      <c r="V9" s="1">
        <v>39</v>
      </c>
      <c r="W9" s="1"/>
      <c r="X9">
        <f t="shared" si="0"/>
        <v>203</v>
      </c>
      <c r="Y9">
        <f t="shared" si="1"/>
        <v>19</v>
      </c>
      <c r="Z9">
        <f t="shared" si="2"/>
        <v>14</v>
      </c>
      <c r="AA9">
        <f t="shared" si="3"/>
        <v>5</v>
      </c>
      <c r="AB9">
        <f t="shared" si="4"/>
        <v>40.6</v>
      </c>
    </row>
    <row r="10" spans="2:28">
      <c r="C10" t="s">
        <v>37</v>
      </c>
      <c r="D10" s="1">
        <v>36</v>
      </c>
      <c r="E10" s="1">
        <v>44</v>
      </c>
      <c r="F10" s="1">
        <v>0</v>
      </c>
      <c r="G10" s="1">
        <v>42</v>
      </c>
      <c r="H10" s="1">
        <v>35</v>
      </c>
      <c r="I10" s="1">
        <v>45</v>
      </c>
      <c r="J10" s="1"/>
      <c r="K10" s="1"/>
      <c r="L10" s="1"/>
      <c r="M10" s="1"/>
      <c r="N10" s="1"/>
      <c r="O10" s="1"/>
      <c r="P10" s="1"/>
      <c r="Q10" s="1"/>
      <c r="R10" s="1"/>
      <c r="S10" s="1"/>
      <c r="T10" s="1"/>
      <c r="U10" s="1"/>
      <c r="V10" s="1"/>
      <c r="W10" s="1"/>
      <c r="X10">
        <f t="shared" si="0"/>
        <v>202</v>
      </c>
      <c r="Y10">
        <f t="shared" si="1"/>
        <v>6</v>
      </c>
      <c r="Z10">
        <f t="shared" si="2"/>
        <v>1</v>
      </c>
      <c r="AA10">
        <f t="shared" si="3"/>
        <v>5</v>
      </c>
      <c r="AB10">
        <f t="shared" si="4"/>
        <v>40.4</v>
      </c>
    </row>
    <row r="11" spans="2:28">
      <c r="C11" t="s">
        <v>38</v>
      </c>
      <c r="D11" s="1">
        <v>45</v>
      </c>
      <c r="E11" s="1">
        <v>0</v>
      </c>
      <c r="F11" s="1">
        <v>0</v>
      </c>
      <c r="G11" s="1">
        <v>36</v>
      </c>
      <c r="H11" s="1">
        <v>0</v>
      </c>
      <c r="I11" s="1">
        <v>37</v>
      </c>
      <c r="J11" s="1">
        <v>0</v>
      </c>
      <c r="K11" s="1">
        <v>0</v>
      </c>
      <c r="L11" s="1">
        <v>35</v>
      </c>
      <c r="M11" s="1">
        <v>36</v>
      </c>
      <c r="N11" s="1">
        <v>0</v>
      </c>
      <c r="O11" s="1">
        <v>41</v>
      </c>
      <c r="P11" s="1"/>
      <c r="Q11" s="1"/>
      <c r="R11" s="1"/>
      <c r="S11" s="1"/>
      <c r="T11" s="1"/>
      <c r="U11" s="1"/>
      <c r="V11" s="1"/>
      <c r="W11" s="1"/>
      <c r="X11">
        <f t="shared" si="0"/>
        <v>230</v>
      </c>
      <c r="Y11">
        <f t="shared" si="1"/>
        <v>12</v>
      </c>
      <c r="Z11">
        <f t="shared" si="2"/>
        <v>6</v>
      </c>
      <c r="AA11">
        <f t="shared" si="3"/>
        <v>6</v>
      </c>
      <c r="AB11">
        <f t="shared" si="4"/>
        <v>38.333333333333336</v>
      </c>
    </row>
    <row r="12" spans="2:28">
      <c r="C12" t="s">
        <v>39</v>
      </c>
      <c r="D12" s="1">
        <v>0</v>
      </c>
      <c r="E12" s="1">
        <v>0</v>
      </c>
      <c r="F12" s="1">
        <v>45</v>
      </c>
      <c r="G12" s="1">
        <v>0</v>
      </c>
      <c r="H12" s="1">
        <v>0</v>
      </c>
      <c r="I12" s="1">
        <v>0</v>
      </c>
      <c r="J12" s="1">
        <v>38</v>
      </c>
      <c r="K12" s="1">
        <v>35</v>
      </c>
      <c r="L12" s="1">
        <v>0</v>
      </c>
      <c r="M12" s="1">
        <v>0</v>
      </c>
      <c r="N12" s="1">
        <v>37</v>
      </c>
      <c r="O12" s="1">
        <v>43</v>
      </c>
      <c r="P12" s="1">
        <v>38</v>
      </c>
      <c r="Q12" s="1"/>
      <c r="R12" s="1"/>
      <c r="S12" s="1"/>
      <c r="T12" s="1"/>
      <c r="U12" s="1"/>
      <c r="V12" s="1"/>
      <c r="W12" s="1"/>
      <c r="X12">
        <f t="shared" si="0"/>
        <v>236</v>
      </c>
      <c r="Y12">
        <f t="shared" si="1"/>
        <v>13</v>
      </c>
      <c r="Z12">
        <f t="shared" si="2"/>
        <v>7</v>
      </c>
      <c r="AA12">
        <f t="shared" si="3"/>
        <v>6</v>
      </c>
      <c r="AB12">
        <f t="shared" si="4"/>
        <v>39.333333333333336</v>
      </c>
    </row>
    <row r="13" spans="2:28">
      <c r="X13" t="s">
        <v>52</v>
      </c>
      <c r="Y13">
        <f>AVERAGE(Y3:Y12)</f>
        <v>11.7</v>
      </c>
      <c r="Z13">
        <f t="shared" ref="Z13:AB13" si="5">AVERAGE(Z3:Z12)</f>
        <v>6.3</v>
      </c>
      <c r="AA13">
        <f t="shared" si="5"/>
        <v>5.4</v>
      </c>
      <c r="AB13">
        <f t="shared" si="5"/>
        <v>40.326666666666668</v>
      </c>
    </row>
  </sheetData>
  <phoneticPr fontId="3" type="noConversion"/>
  <conditionalFormatting sqref="D3:W12">
    <cfRule type="colorScale" priority="1">
      <colorScale>
        <cfvo type="min"/>
        <cfvo type="max"/>
        <color rgb="FFFF7128"/>
        <color theme="9"/>
      </colorScale>
    </cfRule>
    <cfRule type="cellIs" dxfId="10" priority="3" operator="equal">
      <formula>0</formula>
    </cfRule>
  </conditionalFormatting>
  <conditionalFormatting sqref="E7">
    <cfRule type="colorScale" priority="2">
      <colorScale>
        <cfvo type="min"/>
        <cfvo type="max"/>
        <color rgb="FFFF7128"/>
        <color theme="9"/>
      </colorScale>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9A2DB-4319-4F68-9A32-4D2450524F9C}">
  <dimension ref="B2:AL13"/>
  <sheetViews>
    <sheetView topLeftCell="AC1" workbookViewId="0">
      <selection activeCell="AJ13" sqref="AJ13"/>
    </sheetView>
  </sheetViews>
  <sheetFormatPr defaultRowHeight="15"/>
  <cols>
    <col min="2" max="2" width="21.85546875" bestFit="1" customWidth="1"/>
  </cols>
  <sheetData>
    <row r="2" spans="2:38">
      <c r="B2" t="s">
        <v>62</v>
      </c>
      <c r="D2" t="s">
        <v>19</v>
      </c>
      <c r="E2" t="s">
        <v>20</v>
      </c>
      <c r="F2" t="s">
        <v>21</v>
      </c>
      <c r="G2" t="s">
        <v>22</v>
      </c>
      <c r="H2" t="s">
        <v>23</v>
      </c>
      <c r="I2" t="s">
        <v>24</v>
      </c>
      <c r="J2" t="s">
        <v>25</v>
      </c>
      <c r="K2" t="s">
        <v>26</v>
      </c>
      <c r="L2" t="s">
        <v>27</v>
      </c>
      <c r="M2" t="s">
        <v>28</v>
      </c>
      <c r="N2" t="s">
        <v>29</v>
      </c>
      <c r="O2" t="s">
        <v>30</v>
      </c>
      <c r="P2" t="s">
        <v>40</v>
      </c>
      <c r="Q2" t="s">
        <v>41</v>
      </c>
      <c r="R2" t="s">
        <v>42</v>
      </c>
      <c r="S2" t="s">
        <v>72</v>
      </c>
      <c r="T2" t="s">
        <v>73</v>
      </c>
      <c r="U2" t="s">
        <v>74</v>
      </c>
      <c r="V2" t="s">
        <v>75</v>
      </c>
      <c r="W2" t="s">
        <v>76</v>
      </c>
      <c r="X2" t="s">
        <v>80</v>
      </c>
      <c r="Y2" t="s">
        <v>81</v>
      </c>
      <c r="Z2" t="s">
        <v>82</v>
      </c>
      <c r="AA2" t="s">
        <v>83</v>
      </c>
      <c r="AB2" t="s">
        <v>84</v>
      </c>
      <c r="AC2" t="s">
        <v>85</v>
      </c>
      <c r="AD2" t="s">
        <v>86</v>
      </c>
      <c r="AE2" t="s">
        <v>87</v>
      </c>
      <c r="AF2" t="s">
        <v>88</v>
      </c>
      <c r="AG2" t="s">
        <v>89</v>
      </c>
      <c r="AH2" t="s">
        <v>50</v>
      </c>
      <c r="AI2" t="s">
        <v>49</v>
      </c>
      <c r="AJ2" t="s">
        <v>48</v>
      </c>
      <c r="AK2" t="s">
        <v>51</v>
      </c>
      <c r="AL2" t="s">
        <v>77</v>
      </c>
    </row>
    <row r="3" spans="2:38">
      <c r="C3" t="s">
        <v>18</v>
      </c>
      <c r="D3" s="1">
        <v>0</v>
      </c>
      <c r="E3" s="1">
        <v>0</v>
      </c>
      <c r="F3" s="1">
        <v>0</v>
      </c>
      <c r="G3" s="1">
        <v>0</v>
      </c>
      <c r="H3" s="1">
        <v>40</v>
      </c>
      <c r="I3" s="1">
        <v>0</v>
      </c>
      <c r="J3" s="1">
        <v>0</v>
      </c>
      <c r="K3" s="1">
        <v>0</v>
      </c>
      <c r="L3" s="1">
        <v>47</v>
      </c>
      <c r="M3" s="1">
        <v>0</v>
      </c>
      <c r="N3" s="1">
        <v>0</v>
      </c>
      <c r="O3" s="1">
        <v>0</v>
      </c>
      <c r="P3" s="1">
        <v>0</v>
      </c>
      <c r="Q3" s="1">
        <v>40</v>
      </c>
      <c r="R3" s="1">
        <v>45</v>
      </c>
      <c r="S3" s="1">
        <v>0</v>
      </c>
      <c r="T3" s="1">
        <v>43</v>
      </c>
      <c r="U3" s="1"/>
      <c r="V3" s="1"/>
      <c r="W3" s="1"/>
      <c r="X3" s="1"/>
      <c r="Y3" s="1"/>
      <c r="Z3" s="1"/>
      <c r="AA3" s="1"/>
      <c r="AB3" s="1"/>
      <c r="AC3" s="1"/>
      <c r="AD3" s="1"/>
      <c r="AE3" s="1"/>
      <c r="AF3" s="1"/>
      <c r="AG3" s="1"/>
      <c r="AH3">
        <f>SUM(D3:AG3)</f>
        <v>215</v>
      </c>
      <c r="AI3">
        <f>COUNT(D3:AG3)</f>
        <v>17</v>
      </c>
      <c r="AJ3">
        <f>COUNTIF(D3:AG3,0)</f>
        <v>12</v>
      </c>
      <c r="AK3">
        <f>AI3-AJ3</f>
        <v>5</v>
      </c>
      <c r="AL3">
        <f>AH3/AK3</f>
        <v>43</v>
      </c>
    </row>
    <row r="4" spans="2:38">
      <c r="C4" t="s">
        <v>31</v>
      </c>
      <c r="D4" s="1">
        <v>0</v>
      </c>
      <c r="E4" s="1">
        <v>0</v>
      </c>
      <c r="F4" s="1">
        <v>42</v>
      </c>
      <c r="G4" s="1">
        <v>0</v>
      </c>
      <c r="H4" s="1">
        <v>0</v>
      </c>
      <c r="I4" s="1">
        <v>40</v>
      </c>
      <c r="J4" s="1">
        <v>52</v>
      </c>
      <c r="K4" s="1">
        <v>0</v>
      </c>
      <c r="L4" s="1">
        <v>40</v>
      </c>
      <c r="M4" s="1">
        <v>44</v>
      </c>
      <c r="N4" s="1"/>
      <c r="O4" s="1"/>
      <c r="P4" s="1"/>
      <c r="Q4" s="1"/>
      <c r="R4" s="1"/>
      <c r="S4" s="1"/>
      <c r="T4" s="1"/>
      <c r="U4" s="1"/>
      <c r="V4" s="1"/>
      <c r="W4" s="1"/>
      <c r="X4" s="1"/>
      <c r="Y4" s="1"/>
      <c r="Z4" s="1"/>
      <c r="AA4" s="1"/>
      <c r="AB4" s="1"/>
      <c r="AC4" s="1"/>
      <c r="AD4" s="1"/>
      <c r="AE4" s="1"/>
      <c r="AF4" s="1"/>
      <c r="AG4" s="1"/>
      <c r="AH4">
        <f t="shared" ref="AH4:AH12" si="0">SUM(D4:AG4)</f>
        <v>218</v>
      </c>
      <c r="AI4">
        <f t="shared" ref="AI4:AI12" si="1">COUNT(D4:AG4)</f>
        <v>10</v>
      </c>
      <c r="AJ4">
        <f t="shared" ref="AJ4:AJ12" si="2">COUNTIF(D4:AG4,0)</f>
        <v>5</v>
      </c>
      <c r="AK4">
        <f t="shared" ref="AK4:AK12" si="3">AI4-AJ4</f>
        <v>5</v>
      </c>
      <c r="AL4">
        <f t="shared" ref="AL4:AL12" si="4">AH4/AK4</f>
        <v>43.6</v>
      </c>
    </row>
    <row r="5" spans="2:38">
      <c r="C5" t="s">
        <v>32</v>
      </c>
      <c r="D5" s="1">
        <v>0</v>
      </c>
      <c r="E5" s="1">
        <v>0</v>
      </c>
      <c r="F5" s="1">
        <v>49</v>
      </c>
      <c r="G5" s="1">
        <v>43</v>
      </c>
      <c r="H5" s="1">
        <v>41</v>
      </c>
      <c r="I5" s="1">
        <v>0</v>
      </c>
      <c r="J5" s="1">
        <v>0</v>
      </c>
      <c r="K5" s="1">
        <v>0</v>
      </c>
      <c r="L5" s="1">
        <v>0</v>
      </c>
      <c r="M5" s="1">
        <v>0</v>
      </c>
      <c r="N5" s="1">
        <v>47</v>
      </c>
      <c r="O5" s="1">
        <v>0</v>
      </c>
      <c r="P5" s="1">
        <v>0</v>
      </c>
      <c r="Q5" s="1">
        <v>42</v>
      </c>
      <c r="R5" s="1"/>
      <c r="S5" s="1"/>
      <c r="T5" s="1"/>
      <c r="U5" s="1"/>
      <c r="V5" s="1"/>
      <c r="W5" s="1"/>
      <c r="X5" s="1"/>
      <c r="Y5" s="1"/>
      <c r="Z5" s="1"/>
      <c r="AA5" s="1"/>
      <c r="AB5" s="1"/>
      <c r="AC5" s="1"/>
      <c r="AD5" s="1"/>
      <c r="AE5" s="1"/>
      <c r="AF5" s="1"/>
      <c r="AG5" s="1"/>
      <c r="AH5">
        <f t="shared" si="0"/>
        <v>222</v>
      </c>
      <c r="AI5">
        <f t="shared" si="1"/>
        <v>14</v>
      </c>
      <c r="AJ5">
        <f t="shared" si="2"/>
        <v>9</v>
      </c>
      <c r="AK5">
        <f t="shared" si="3"/>
        <v>5</v>
      </c>
      <c r="AL5">
        <f t="shared" si="4"/>
        <v>44.4</v>
      </c>
    </row>
    <row r="6" spans="2:38">
      <c r="C6" t="s">
        <v>33</v>
      </c>
      <c r="D6" s="1">
        <v>45</v>
      </c>
      <c r="E6" s="1">
        <v>0</v>
      </c>
      <c r="F6" s="1">
        <v>46</v>
      </c>
      <c r="G6" s="1">
        <v>49</v>
      </c>
      <c r="H6" s="1">
        <v>0</v>
      </c>
      <c r="I6" s="1">
        <v>0</v>
      </c>
      <c r="J6" s="1">
        <v>43</v>
      </c>
      <c r="K6" s="1">
        <v>0</v>
      </c>
      <c r="L6" s="1">
        <v>0</v>
      </c>
      <c r="M6" s="1">
        <v>43</v>
      </c>
      <c r="N6" s="1"/>
      <c r="O6" s="1"/>
      <c r="P6" s="1"/>
      <c r="Q6" s="1"/>
      <c r="R6" s="1"/>
      <c r="S6" s="1"/>
      <c r="T6" s="1"/>
      <c r="U6" s="1"/>
      <c r="V6" s="1"/>
      <c r="W6" s="1"/>
      <c r="X6" s="1"/>
      <c r="Y6" s="1"/>
      <c r="Z6" s="1"/>
      <c r="AA6" s="1"/>
      <c r="AB6" s="1"/>
      <c r="AC6" s="1"/>
      <c r="AD6" s="1"/>
      <c r="AE6" s="1"/>
      <c r="AF6" s="1"/>
      <c r="AG6" s="1"/>
      <c r="AH6">
        <f t="shared" si="0"/>
        <v>226</v>
      </c>
      <c r="AI6">
        <f t="shared" si="1"/>
        <v>10</v>
      </c>
      <c r="AJ6">
        <f t="shared" si="2"/>
        <v>5</v>
      </c>
      <c r="AK6">
        <f t="shared" si="3"/>
        <v>5</v>
      </c>
      <c r="AL6">
        <f t="shared" si="4"/>
        <v>45.2</v>
      </c>
    </row>
    <row r="7" spans="2:38">
      <c r="C7" t="s">
        <v>34</v>
      </c>
      <c r="D7" s="1">
        <v>0</v>
      </c>
      <c r="E7" s="1">
        <v>40</v>
      </c>
      <c r="F7" s="1">
        <v>41</v>
      </c>
      <c r="G7" s="1">
        <v>0</v>
      </c>
      <c r="H7" s="1">
        <v>0</v>
      </c>
      <c r="I7" s="1">
        <v>0</v>
      </c>
      <c r="J7" s="1">
        <v>0</v>
      </c>
      <c r="K7" s="1">
        <v>45</v>
      </c>
      <c r="L7" s="1">
        <v>0</v>
      </c>
      <c r="M7" s="1">
        <v>0</v>
      </c>
      <c r="N7" s="1">
        <v>46</v>
      </c>
      <c r="O7" s="1">
        <v>40</v>
      </c>
      <c r="P7" s="1"/>
      <c r="Q7" s="1"/>
      <c r="R7" s="1"/>
      <c r="S7" s="1"/>
      <c r="T7" s="1"/>
      <c r="U7" s="1"/>
      <c r="V7" s="1"/>
      <c r="W7" s="1"/>
      <c r="X7" s="1"/>
      <c r="Y7" s="1"/>
      <c r="Z7" s="1"/>
      <c r="AA7" s="1"/>
      <c r="AB7" s="1"/>
      <c r="AC7" s="1"/>
      <c r="AD7" s="1"/>
      <c r="AE7" s="1"/>
      <c r="AF7" s="1"/>
      <c r="AG7" s="1"/>
      <c r="AH7">
        <f t="shared" si="0"/>
        <v>212</v>
      </c>
      <c r="AI7">
        <f t="shared" si="1"/>
        <v>12</v>
      </c>
      <c r="AJ7">
        <f t="shared" si="2"/>
        <v>7</v>
      </c>
      <c r="AK7">
        <f t="shared" si="3"/>
        <v>5</v>
      </c>
      <c r="AL7">
        <f t="shared" si="4"/>
        <v>42.4</v>
      </c>
    </row>
    <row r="8" spans="2:38">
      <c r="C8" t="s">
        <v>35</v>
      </c>
      <c r="D8" s="1">
        <v>0</v>
      </c>
      <c r="E8" s="1">
        <v>46</v>
      </c>
      <c r="F8" s="1">
        <v>44</v>
      </c>
      <c r="G8" s="1">
        <v>47</v>
      </c>
      <c r="H8" s="1">
        <v>47</v>
      </c>
      <c r="I8" s="1">
        <v>0</v>
      </c>
      <c r="J8" s="1">
        <v>48</v>
      </c>
      <c r="K8" s="1"/>
      <c r="L8" s="1"/>
      <c r="M8" s="1"/>
      <c r="N8" s="1"/>
      <c r="O8" s="1"/>
      <c r="P8" s="1"/>
      <c r="Q8" s="1"/>
      <c r="R8" s="1"/>
      <c r="S8" s="1"/>
      <c r="T8" s="1"/>
      <c r="U8" s="1"/>
      <c r="V8" s="1"/>
      <c r="W8" s="1"/>
      <c r="X8" s="1"/>
      <c r="Y8" s="1"/>
      <c r="Z8" s="1"/>
      <c r="AA8" s="1"/>
      <c r="AB8" s="1"/>
      <c r="AC8" s="1"/>
      <c r="AD8" s="1"/>
      <c r="AE8" s="1"/>
      <c r="AF8" s="1"/>
      <c r="AG8" s="1"/>
      <c r="AH8">
        <f t="shared" si="0"/>
        <v>232</v>
      </c>
      <c r="AI8">
        <f t="shared" si="1"/>
        <v>7</v>
      </c>
      <c r="AJ8">
        <f t="shared" si="2"/>
        <v>2</v>
      </c>
      <c r="AK8">
        <f t="shared" si="3"/>
        <v>5</v>
      </c>
      <c r="AL8">
        <f t="shared" si="4"/>
        <v>46.4</v>
      </c>
    </row>
    <row r="9" spans="2:38">
      <c r="C9" t="s">
        <v>36</v>
      </c>
      <c r="D9" s="1">
        <v>0</v>
      </c>
      <c r="E9" s="1">
        <v>45</v>
      </c>
      <c r="F9" s="1">
        <v>47</v>
      </c>
      <c r="G9" s="1">
        <v>49</v>
      </c>
      <c r="H9" s="1">
        <v>0</v>
      </c>
      <c r="I9" s="1">
        <v>0</v>
      </c>
      <c r="J9" s="1">
        <v>46</v>
      </c>
      <c r="K9" s="1">
        <v>46</v>
      </c>
      <c r="L9" s="1"/>
      <c r="M9" s="1"/>
      <c r="N9" s="1"/>
      <c r="O9" s="1"/>
      <c r="P9" s="1"/>
      <c r="Q9" s="1"/>
      <c r="R9" s="1"/>
      <c r="S9" s="1"/>
      <c r="T9" s="1"/>
      <c r="U9" s="1"/>
      <c r="V9" s="1"/>
      <c r="W9" s="1"/>
      <c r="X9" s="1"/>
      <c r="Y9" s="1"/>
      <c r="Z9" s="1"/>
      <c r="AA9" s="1"/>
      <c r="AB9" s="1"/>
      <c r="AC9" s="1"/>
      <c r="AD9" s="1"/>
      <c r="AE9" s="1"/>
      <c r="AF9" s="1"/>
      <c r="AG9" s="1"/>
      <c r="AH9">
        <f t="shared" si="0"/>
        <v>233</v>
      </c>
      <c r="AI9">
        <f t="shared" si="1"/>
        <v>8</v>
      </c>
      <c r="AJ9">
        <f t="shared" si="2"/>
        <v>3</v>
      </c>
      <c r="AK9">
        <f t="shared" si="3"/>
        <v>5</v>
      </c>
      <c r="AL9">
        <f t="shared" si="4"/>
        <v>46.6</v>
      </c>
    </row>
    <row r="10" spans="2:38">
      <c r="C10" t="s">
        <v>37</v>
      </c>
      <c r="D10" s="1">
        <v>0</v>
      </c>
      <c r="E10" s="1">
        <v>0</v>
      </c>
      <c r="F10" s="1">
        <v>40</v>
      </c>
      <c r="G10" s="1">
        <v>43</v>
      </c>
      <c r="H10" s="1">
        <v>48</v>
      </c>
      <c r="I10" s="1">
        <v>46</v>
      </c>
      <c r="J10" s="1">
        <v>40</v>
      </c>
      <c r="K10" s="1"/>
      <c r="L10" s="1"/>
      <c r="M10" s="1"/>
      <c r="N10" s="1"/>
      <c r="O10" s="1"/>
      <c r="P10" s="1"/>
      <c r="Q10" s="1"/>
      <c r="R10" s="1"/>
      <c r="S10" s="1"/>
      <c r="T10" s="1"/>
      <c r="U10" s="1"/>
      <c r="V10" s="1"/>
      <c r="W10" s="1"/>
      <c r="X10" s="1"/>
      <c r="Y10" s="1"/>
      <c r="Z10" s="1"/>
      <c r="AA10" s="1"/>
      <c r="AB10" s="1"/>
      <c r="AC10" s="1"/>
      <c r="AD10" s="1"/>
      <c r="AE10" s="1"/>
      <c r="AF10" s="1"/>
      <c r="AG10" s="1"/>
      <c r="AH10">
        <f t="shared" si="0"/>
        <v>217</v>
      </c>
      <c r="AI10">
        <f t="shared" si="1"/>
        <v>7</v>
      </c>
      <c r="AJ10">
        <f t="shared" si="2"/>
        <v>2</v>
      </c>
      <c r="AK10">
        <f t="shared" si="3"/>
        <v>5</v>
      </c>
      <c r="AL10">
        <f t="shared" si="4"/>
        <v>43.4</v>
      </c>
    </row>
    <row r="11" spans="2:38">
      <c r="C11" t="s">
        <v>38</v>
      </c>
      <c r="D11" s="1">
        <v>0</v>
      </c>
      <c r="E11" s="1">
        <v>0</v>
      </c>
      <c r="F11" s="1">
        <v>0</v>
      </c>
      <c r="G11" s="1">
        <v>40</v>
      </c>
      <c r="H11" s="1">
        <v>0</v>
      </c>
      <c r="I11" s="1">
        <v>0</v>
      </c>
      <c r="J11" s="1">
        <v>0</v>
      </c>
      <c r="K11" s="1">
        <v>42</v>
      </c>
      <c r="L11" s="1">
        <v>0</v>
      </c>
      <c r="M11" s="1">
        <v>0</v>
      </c>
      <c r="N11" s="1">
        <v>0</v>
      </c>
      <c r="O11" s="1">
        <v>0</v>
      </c>
      <c r="P11" s="1">
        <v>43</v>
      </c>
      <c r="Q11" s="1">
        <v>0</v>
      </c>
      <c r="R11" s="1">
        <v>0</v>
      </c>
      <c r="S11" s="1">
        <v>0</v>
      </c>
      <c r="T11" s="1">
        <v>0</v>
      </c>
      <c r="U11" s="1">
        <v>0</v>
      </c>
      <c r="V11" s="1">
        <v>0</v>
      </c>
      <c r="W11" s="1">
        <v>0</v>
      </c>
      <c r="X11" s="1">
        <v>0</v>
      </c>
      <c r="Y11" s="1">
        <v>47</v>
      </c>
      <c r="Z11" s="1">
        <v>0</v>
      </c>
      <c r="AA11" s="1">
        <v>0</v>
      </c>
      <c r="AB11" s="1">
        <v>0</v>
      </c>
      <c r="AC11" s="1">
        <v>43</v>
      </c>
      <c r="AD11" s="1"/>
      <c r="AE11" s="1"/>
      <c r="AF11" s="1"/>
      <c r="AG11" s="1"/>
      <c r="AH11">
        <f t="shared" si="0"/>
        <v>215</v>
      </c>
      <c r="AI11">
        <f t="shared" si="1"/>
        <v>26</v>
      </c>
      <c r="AJ11">
        <f t="shared" si="2"/>
        <v>21</v>
      </c>
      <c r="AK11">
        <f t="shared" si="3"/>
        <v>5</v>
      </c>
      <c r="AL11">
        <f t="shared" si="4"/>
        <v>43</v>
      </c>
    </row>
    <row r="12" spans="2:38">
      <c r="C12" t="s">
        <v>39</v>
      </c>
      <c r="D12" s="1">
        <v>0</v>
      </c>
      <c r="E12" s="1">
        <v>0</v>
      </c>
      <c r="F12" s="1">
        <v>43</v>
      </c>
      <c r="G12" s="1">
        <v>43</v>
      </c>
      <c r="H12" s="1">
        <v>0</v>
      </c>
      <c r="I12" s="1">
        <v>0</v>
      </c>
      <c r="J12" s="1">
        <v>0</v>
      </c>
      <c r="K12" s="1">
        <v>0</v>
      </c>
      <c r="L12" s="1">
        <v>47</v>
      </c>
      <c r="M12" s="1">
        <v>0</v>
      </c>
      <c r="N12" s="1">
        <v>0</v>
      </c>
      <c r="O12" s="1">
        <v>44</v>
      </c>
      <c r="P12" s="1">
        <v>51</v>
      </c>
      <c r="Q12" s="1"/>
      <c r="R12" s="1"/>
      <c r="S12" s="1"/>
      <c r="T12" s="1"/>
      <c r="U12" s="1"/>
      <c r="V12" s="1"/>
      <c r="W12" s="1"/>
      <c r="X12" s="1"/>
      <c r="Y12" s="1"/>
      <c r="Z12" s="1"/>
      <c r="AA12" s="1"/>
      <c r="AB12" s="1"/>
      <c r="AC12" s="1"/>
      <c r="AD12" s="1"/>
      <c r="AE12" s="1"/>
      <c r="AF12" s="1"/>
      <c r="AG12" s="1"/>
      <c r="AH12">
        <f t="shared" si="0"/>
        <v>228</v>
      </c>
      <c r="AI12">
        <f t="shared" si="1"/>
        <v>13</v>
      </c>
      <c r="AJ12">
        <f t="shared" si="2"/>
        <v>8</v>
      </c>
      <c r="AK12">
        <f t="shared" si="3"/>
        <v>5</v>
      </c>
      <c r="AL12">
        <f t="shared" si="4"/>
        <v>45.6</v>
      </c>
    </row>
    <row r="13" spans="2:38">
      <c r="AH13" t="s">
        <v>52</v>
      </c>
      <c r="AI13">
        <f>AVERAGE(AI3:AI12)</f>
        <v>12.4</v>
      </c>
      <c r="AJ13">
        <f t="shared" ref="AJ13:AL13" si="5">AVERAGE(AJ3:AJ12)</f>
        <v>7.4</v>
      </c>
      <c r="AK13">
        <f t="shared" si="5"/>
        <v>5</v>
      </c>
      <c r="AL13">
        <f t="shared" si="5"/>
        <v>44.36</v>
      </c>
    </row>
  </sheetData>
  <phoneticPr fontId="3" type="noConversion"/>
  <conditionalFormatting sqref="D3:AG12">
    <cfRule type="colorScale" priority="1">
      <colorScale>
        <cfvo type="min"/>
        <cfvo type="max"/>
        <color rgb="FFFF7128"/>
        <color theme="9"/>
      </colorScale>
    </cfRule>
    <cfRule type="cellIs" dxfId="9" priority="3" operator="equal">
      <formula>0</formula>
    </cfRule>
  </conditionalFormatting>
  <conditionalFormatting sqref="E7">
    <cfRule type="colorScale" priority="2">
      <colorScale>
        <cfvo type="min"/>
        <cfvo type="max"/>
        <color rgb="FFFF7128"/>
        <color theme="9"/>
      </colorScale>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2F483-C5BA-451E-A8E5-F53D1C91B29D}">
  <dimension ref="B2:AB13"/>
  <sheetViews>
    <sheetView topLeftCell="P1" workbookViewId="0">
      <selection activeCell="Y13" sqref="Y13"/>
    </sheetView>
  </sheetViews>
  <sheetFormatPr defaultRowHeight="15"/>
  <cols>
    <col min="2" max="2" width="25.28515625" bestFit="1" customWidth="1"/>
  </cols>
  <sheetData>
    <row r="2" spans="2:28">
      <c r="B2" t="s">
        <v>63</v>
      </c>
      <c r="D2" t="s">
        <v>19</v>
      </c>
      <c r="E2" t="s">
        <v>20</v>
      </c>
      <c r="F2" t="s">
        <v>21</v>
      </c>
      <c r="G2" t="s">
        <v>22</v>
      </c>
      <c r="H2" t="s">
        <v>23</v>
      </c>
      <c r="I2" t="s">
        <v>24</v>
      </c>
      <c r="J2" t="s">
        <v>25</v>
      </c>
      <c r="K2" t="s">
        <v>26</v>
      </c>
      <c r="L2" t="s">
        <v>27</v>
      </c>
      <c r="M2" t="s">
        <v>28</v>
      </c>
      <c r="N2" t="s">
        <v>29</v>
      </c>
      <c r="O2" t="s">
        <v>30</v>
      </c>
      <c r="P2" t="s">
        <v>40</v>
      </c>
      <c r="Q2" t="s">
        <v>41</v>
      </c>
      <c r="R2" t="s">
        <v>42</v>
      </c>
      <c r="S2" t="s">
        <v>72</v>
      </c>
      <c r="T2" t="s">
        <v>73</v>
      </c>
      <c r="U2" t="s">
        <v>74</v>
      </c>
      <c r="V2" t="s">
        <v>75</v>
      </c>
      <c r="W2" t="s">
        <v>76</v>
      </c>
      <c r="X2" t="s">
        <v>50</v>
      </c>
      <c r="Y2" t="s">
        <v>49</v>
      </c>
      <c r="Z2" t="s">
        <v>48</v>
      </c>
      <c r="AA2" t="s">
        <v>51</v>
      </c>
      <c r="AB2" t="s">
        <v>77</v>
      </c>
    </row>
    <row r="3" spans="2:28">
      <c r="B3" t="s">
        <v>90</v>
      </c>
      <c r="C3" t="s">
        <v>18</v>
      </c>
      <c r="D3" s="1">
        <v>24</v>
      </c>
      <c r="E3" s="1">
        <v>0</v>
      </c>
      <c r="F3" s="1">
        <v>0</v>
      </c>
      <c r="G3" s="1">
        <v>26</v>
      </c>
      <c r="H3" s="1">
        <v>31</v>
      </c>
      <c r="I3" s="1">
        <v>28</v>
      </c>
      <c r="J3" s="1">
        <v>17</v>
      </c>
      <c r="K3" s="1">
        <v>0</v>
      </c>
      <c r="L3" s="1">
        <v>0</v>
      </c>
      <c r="M3" s="1">
        <v>28</v>
      </c>
      <c r="N3" s="1">
        <v>0</v>
      </c>
      <c r="O3" s="1">
        <v>25</v>
      </c>
      <c r="P3" s="1">
        <v>0</v>
      </c>
      <c r="Q3" s="1">
        <v>22</v>
      </c>
      <c r="R3" s="1"/>
      <c r="S3" s="1"/>
      <c r="T3" s="1"/>
      <c r="U3" s="1"/>
      <c r="V3" s="1"/>
      <c r="W3" s="1"/>
      <c r="X3">
        <f t="shared" ref="X3:X12" si="0">SUM(D3:R3)</f>
        <v>201</v>
      </c>
      <c r="Y3">
        <f t="shared" ref="Y3:Y12" si="1">COUNT(D3:R3)</f>
        <v>14</v>
      </c>
      <c r="Z3">
        <f t="shared" ref="Z3:Z12" si="2">COUNTIF(D3:R3,0)</f>
        <v>6</v>
      </c>
      <c r="AA3">
        <f>Y3-Z3</f>
        <v>8</v>
      </c>
      <c r="AB3">
        <f>X3/AA3</f>
        <v>25.125</v>
      </c>
    </row>
    <row r="4" spans="2:28">
      <c r="C4" t="s">
        <v>31</v>
      </c>
      <c r="D4" s="1">
        <v>0</v>
      </c>
      <c r="E4" s="1">
        <v>25</v>
      </c>
      <c r="F4" s="1">
        <v>0</v>
      </c>
      <c r="G4" s="1">
        <v>31</v>
      </c>
      <c r="H4" s="1">
        <v>22</v>
      </c>
      <c r="I4" s="1">
        <v>30</v>
      </c>
      <c r="J4" s="1">
        <v>22</v>
      </c>
      <c r="K4" s="1">
        <v>22</v>
      </c>
      <c r="L4" s="1">
        <v>30</v>
      </c>
      <c r="M4" s="1">
        <v>21</v>
      </c>
      <c r="N4" s="1"/>
      <c r="O4" s="1"/>
      <c r="P4" s="1"/>
      <c r="Q4" s="1"/>
      <c r="R4" s="1"/>
      <c r="S4" s="1"/>
      <c r="T4" s="1"/>
      <c r="U4" s="1"/>
      <c r="V4" s="1"/>
      <c r="W4" s="1"/>
      <c r="X4">
        <f t="shared" si="0"/>
        <v>203</v>
      </c>
      <c r="Y4">
        <f t="shared" si="1"/>
        <v>10</v>
      </c>
      <c r="Z4">
        <f t="shared" si="2"/>
        <v>2</v>
      </c>
      <c r="AA4">
        <f t="shared" ref="AA4:AA12" si="3">Y4-Z4</f>
        <v>8</v>
      </c>
      <c r="AB4">
        <f t="shared" ref="AB4:AB12" si="4">X4/AA4</f>
        <v>25.375</v>
      </c>
    </row>
    <row r="5" spans="2:28">
      <c r="C5" t="s">
        <v>32</v>
      </c>
      <c r="D5" s="1">
        <v>0</v>
      </c>
      <c r="E5" s="1">
        <v>35</v>
      </c>
      <c r="F5" s="1">
        <v>0</v>
      </c>
      <c r="G5" s="1">
        <v>0</v>
      </c>
      <c r="H5" s="1">
        <v>25</v>
      </c>
      <c r="I5" s="1">
        <v>0</v>
      </c>
      <c r="J5" s="1">
        <v>0</v>
      </c>
      <c r="K5" s="1">
        <v>25</v>
      </c>
      <c r="L5" s="1">
        <v>0</v>
      </c>
      <c r="M5" s="1">
        <v>33</v>
      </c>
      <c r="N5" s="1">
        <v>34</v>
      </c>
      <c r="O5" s="1">
        <v>21</v>
      </c>
      <c r="P5" s="1">
        <v>26</v>
      </c>
      <c r="Q5" s="1">
        <v>19</v>
      </c>
      <c r="R5" s="1"/>
      <c r="S5" s="1"/>
      <c r="T5" s="1"/>
      <c r="U5" s="1"/>
      <c r="V5" s="1"/>
      <c r="W5" s="1"/>
      <c r="X5">
        <f t="shared" si="0"/>
        <v>218</v>
      </c>
      <c r="Y5">
        <f t="shared" si="1"/>
        <v>14</v>
      </c>
      <c r="Z5">
        <f t="shared" si="2"/>
        <v>6</v>
      </c>
      <c r="AA5">
        <f t="shared" si="3"/>
        <v>8</v>
      </c>
      <c r="AB5">
        <f t="shared" si="4"/>
        <v>27.25</v>
      </c>
    </row>
    <row r="6" spans="2:28">
      <c r="C6" t="s">
        <v>33</v>
      </c>
      <c r="D6" s="1">
        <v>31</v>
      </c>
      <c r="E6" s="1">
        <v>23</v>
      </c>
      <c r="F6" s="1">
        <v>22</v>
      </c>
      <c r="G6" s="1">
        <v>21</v>
      </c>
      <c r="H6" s="1">
        <v>26</v>
      </c>
      <c r="I6" s="1">
        <v>30</v>
      </c>
      <c r="J6" s="1">
        <v>23</v>
      </c>
      <c r="K6" s="1">
        <v>36</v>
      </c>
      <c r="L6" s="1"/>
      <c r="M6" s="1"/>
      <c r="N6" s="1"/>
      <c r="O6" s="1"/>
      <c r="P6" s="1"/>
      <c r="Q6" s="1"/>
      <c r="R6" s="1"/>
      <c r="S6" s="1"/>
      <c r="T6" s="1"/>
      <c r="U6" s="1"/>
      <c r="V6" s="1"/>
      <c r="W6" s="1"/>
      <c r="X6">
        <f t="shared" si="0"/>
        <v>212</v>
      </c>
      <c r="Y6">
        <f t="shared" si="1"/>
        <v>8</v>
      </c>
      <c r="Z6">
        <f t="shared" si="2"/>
        <v>0</v>
      </c>
      <c r="AA6">
        <f t="shared" si="3"/>
        <v>8</v>
      </c>
      <c r="AB6">
        <f t="shared" si="4"/>
        <v>26.5</v>
      </c>
    </row>
    <row r="7" spans="2:28">
      <c r="C7" t="s">
        <v>34</v>
      </c>
      <c r="D7" s="1">
        <v>34</v>
      </c>
      <c r="E7" s="1">
        <v>26</v>
      </c>
      <c r="F7" s="1">
        <v>26</v>
      </c>
      <c r="G7" s="1">
        <v>29</v>
      </c>
      <c r="H7" s="1">
        <v>23</v>
      </c>
      <c r="I7" s="1">
        <v>26</v>
      </c>
      <c r="J7" s="1">
        <v>27</v>
      </c>
      <c r="K7" s="1">
        <v>21</v>
      </c>
      <c r="L7" s="1"/>
      <c r="M7" s="1"/>
      <c r="N7" s="1"/>
      <c r="O7" s="1"/>
      <c r="P7" s="1"/>
      <c r="Q7" s="1"/>
      <c r="R7" s="1"/>
      <c r="S7" s="1"/>
      <c r="T7" s="1"/>
      <c r="U7" s="1"/>
      <c r="V7" s="1"/>
      <c r="W7" s="1"/>
      <c r="X7">
        <f t="shared" si="0"/>
        <v>212</v>
      </c>
      <c r="Y7">
        <f t="shared" si="1"/>
        <v>8</v>
      </c>
      <c r="Z7">
        <f t="shared" si="2"/>
        <v>0</v>
      </c>
      <c r="AA7">
        <f t="shared" si="3"/>
        <v>8</v>
      </c>
      <c r="AB7">
        <f t="shared" si="4"/>
        <v>26.5</v>
      </c>
    </row>
    <row r="8" spans="2:28">
      <c r="C8" t="s">
        <v>35</v>
      </c>
      <c r="D8" s="1">
        <v>0</v>
      </c>
      <c r="E8" s="1">
        <v>27</v>
      </c>
      <c r="F8" s="1">
        <v>25</v>
      </c>
      <c r="G8" s="1">
        <v>26</v>
      </c>
      <c r="H8" s="1">
        <v>19</v>
      </c>
      <c r="I8" s="1">
        <v>20</v>
      </c>
      <c r="J8" s="1">
        <v>0</v>
      </c>
      <c r="K8" s="1">
        <v>32</v>
      </c>
      <c r="L8" s="1">
        <v>27</v>
      </c>
      <c r="M8" s="1">
        <v>28</v>
      </c>
      <c r="N8" s="1"/>
      <c r="O8" s="1"/>
      <c r="P8" s="1"/>
      <c r="Q8" s="1"/>
      <c r="R8" s="1"/>
      <c r="S8" s="1"/>
      <c r="T8" s="1"/>
      <c r="U8" s="1"/>
      <c r="V8" s="1"/>
      <c r="W8" s="1"/>
      <c r="X8">
        <f t="shared" si="0"/>
        <v>204</v>
      </c>
      <c r="Y8">
        <f t="shared" si="1"/>
        <v>10</v>
      </c>
      <c r="Z8">
        <f t="shared" si="2"/>
        <v>2</v>
      </c>
      <c r="AA8">
        <f t="shared" si="3"/>
        <v>8</v>
      </c>
      <c r="AB8">
        <f t="shared" si="4"/>
        <v>25.5</v>
      </c>
    </row>
    <row r="9" spans="2:28">
      <c r="C9" t="s">
        <v>36</v>
      </c>
      <c r="D9" s="1">
        <v>30</v>
      </c>
      <c r="E9" s="1">
        <v>25</v>
      </c>
      <c r="F9" s="1">
        <v>28</v>
      </c>
      <c r="G9" s="1">
        <v>29</v>
      </c>
      <c r="H9" s="1">
        <v>18</v>
      </c>
      <c r="I9" s="1">
        <v>24</v>
      </c>
      <c r="J9" s="1">
        <v>0</v>
      </c>
      <c r="K9" s="1">
        <v>24</v>
      </c>
      <c r="L9" s="1">
        <v>0</v>
      </c>
      <c r="M9" s="1">
        <v>21</v>
      </c>
      <c r="N9" s="1">
        <v>26</v>
      </c>
      <c r="O9" s="1"/>
      <c r="P9" s="1"/>
      <c r="Q9" s="1"/>
      <c r="R9" s="1"/>
      <c r="S9" s="1"/>
      <c r="T9" s="1"/>
      <c r="U9" s="1"/>
      <c r="V9" s="1"/>
      <c r="W9" s="1"/>
      <c r="X9">
        <f t="shared" si="0"/>
        <v>225</v>
      </c>
      <c r="Y9">
        <f t="shared" si="1"/>
        <v>11</v>
      </c>
      <c r="Z9">
        <f t="shared" si="2"/>
        <v>2</v>
      </c>
      <c r="AA9">
        <f t="shared" si="3"/>
        <v>9</v>
      </c>
      <c r="AB9">
        <f t="shared" si="4"/>
        <v>25</v>
      </c>
    </row>
    <row r="10" spans="2:28">
      <c r="C10" t="s">
        <v>37</v>
      </c>
      <c r="D10" s="1">
        <v>0</v>
      </c>
      <c r="E10" s="1">
        <v>24</v>
      </c>
      <c r="F10" s="1">
        <v>0</v>
      </c>
      <c r="G10" s="1">
        <v>20</v>
      </c>
      <c r="H10" s="1">
        <v>26</v>
      </c>
      <c r="I10" s="1">
        <v>20</v>
      </c>
      <c r="J10" s="1">
        <v>0</v>
      </c>
      <c r="K10" s="1">
        <v>24</v>
      </c>
      <c r="L10" s="1">
        <v>20</v>
      </c>
      <c r="M10" s="1">
        <v>25</v>
      </c>
      <c r="N10" s="1">
        <v>0</v>
      </c>
      <c r="O10" s="1">
        <v>25</v>
      </c>
      <c r="P10" s="1">
        <v>22</v>
      </c>
      <c r="Q10" s="1"/>
      <c r="R10" s="1"/>
      <c r="S10" s="1"/>
      <c r="T10" s="1"/>
      <c r="U10" s="1"/>
      <c r="V10" s="1"/>
      <c r="W10" s="1"/>
      <c r="X10">
        <f t="shared" si="0"/>
        <v>206</v>
      </c>
      <c r="Y10">
        <f t="shared" si="1"/>
        <v>13</v>
      </c>
      <c r="Z10">
        <f t="shared" si="2"/>
        <v>4</v>
      </c>
      <c r="AA10">
        <f t="shared" si="3"/>
        <v>9</v>
      </c>
      <c r="AB10">
        <f t="shared" si="4"/>
        <v>22.888888888888889</v>
      </c>
    </row>
    <row r="11" spans="2:28">
      <c r="C11" t="s">
        <v>38</v>
      </c>
      <c r="D11" s="1">
        <v>30</v>
      </c>
      <c r="E11" s="1">
        <v>25</v>
      </c>
      <c r="F11" s="1">
        <v>19</v>
      </c>
      <c r="G11" s="1">
        <v>0</v>
      </c>
      <c r="H11" s="1">
        <v>22</v>
      </c>
      <c r="I11" s="1">
        <v>0</v>
      </c>
      <c r="J11" s="1">
        <v>18</v>
      </c>
      <c r="K11" s="1">
        <v>24</v>
      </c>
      <c r="L11" s="1">
        <v>28</v>
      </c>
      <c r="M11" s="1">
        <v>26</v>
      </c>
      <c r="N11" s="1">
        <v>22</v>
      </c>
      <c r="O11" s="1"/>
      <c r="P11" s="1"/>
      <c r="Q11" s="1"/>
      <c r="R11" s="1"/>
      <c r="S11" s="1"/>
      <c r="T11" s="1"/>
      <c r="U11" s="1"/>
      <c r="V11" s="1"/>
      <c r="W11" s="1"/>
      <c r="X11">
        <f t="shared" si="0"/>
        <v>214</v>
      </c>
      <c r="Y11">
        <f t="shared" si="1"/>
        <v>11</v>
      </c>
      <c r="Z11">
        <f t="shared" si="2"/>
        <v>2</v>
      </c>
      <c r="AA11">
        <f t="shared" si="3"/>
        <v>9</v>
      </c>
      <c r="AB11">
        <f t="shared" si="4"/>
        <v>23.777777777777779</v>
      </c>
    </row>
    <row r="12" spans="2:28">
      <c r="C12" t="s">
        <v>39</v>
      </c>
      <c r="D12" s="1">
        <v>29</v>
      </c>
      <c r="E12" s="1">
        <v>0</v>
      </c>
      <c r="F12" s="1">
        <v>22</v>
      </c>
      <c r="G12" s="1">
        <v>0</v>
      </c>
      <c r="H12" s="1">
        <v>24</v>
      </c>
      <c r="I12" s="1">
        <v>0</v>
      </c>
      <c r="J12" s="1">
        <v>20</v>
      </c>
      <c r="K12" s="1">
        <v>24</v>
      </c>
      <c r="L12" s="1">
        <v>33</v>
      </c>
      <c r="M12" s="1">
        <v>26</v>
      </c>
      <c r="N12" s="1">
        <v>23</v>
      </c>
      <c r="O12" s="1"/>
      <c r="P12" s="1"/>
      <c r="Q12" s="1"/>
      <c r="R12" s="1"/>
      <c r="S12" s="1"/>
      <c r="T12" s="1"/>
      <c r="U12" s="1"/>
      <c r="V12" s="1"/>
      <c r="W12" s="1"/>
      <c r="X12">
        <f t="shared" si="0"/>
        <v>201</v>
      </c>
      <c r="Y12">
        <f t="shared" si="1"/>
        <v>11</v>
      </c>
      <c r="Z12">
        <f t="shared" si="2"/>
        <v>3</v>
      </c>
      <c r="AA12">
        <f t="shared" si="3"/>
        <v>8</v>
      </c>
      <c r="AB12">
        <f t="shared" si="4"/>
        <v>25.125</v>
      </c>
    </row>
    <row r="13" spans="2:28">
      <c r="X13" t="s">
        <v>52</v>
      </c>
      <c r="Y13">
        <f>AVERAGE(Y3:Y12)</f>
        <v>11</v>
      </c>
      <c r="Z13">
        <f t="shared" ref="Z13:AB13" si="5">AVERAGE(Z3:Z12)</f>
        <v>2.7</v>
      </c>
      <c r="AA13">
        <f t="shared" si="5"/>
        <v>8.3000000000000007</v>
      </c>
      <c r="AB13">
        <f t="shared" si="5"/>
        <v>25.304166666666667</v>
      </c>
    </row>
  </sheetData>
  <phoneticPr fontId="3" type="noConversion"/>
  <conditionalFormatting sqref="D3:W12">
    <cfRule type="colorScale" priority="1">
      <colorScale>
        <cfvo type="min"/>
        <cfvo type="max"/>
        <color rgb="FFFF7128"/>
        <color theme="9"/>
      </colorScale>
    </cfRule>
    <cfRule type="cellIs" dxfId="8" priority="3" operator="equal">
      <formula>0</formula>
    </cfRule>
  </conditionalFormatting>
  <conditionalFormatting sqref="E7">
    <cfRule type="colorScale" priority="2">
      <colorScale>
        <cfvo type="min"/>
        <cfvo type="max"/>
        <color rgb="FFFF7128"/>
        <color theme="9"/>
      </colorScale>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C07C4-20B6-493B-9A12-DEBA90594690}">
  <dimension ref="B2:W13"/>
  <sheetViews>
    <sheetView topLeftCell="N1" workbookViewId="0">
      <selection activeCell="U12" sqref="U12"/>
    </sheetView>
  </sheetViews>
  <sheetFormatPr defaultRowHeight="15"/>
  <cols>
    <col min="2" max="2" width="25.28515625" bestFit="1" customWidth="1"/>
  </cols>
  <sheetData>
    <row r="2" spans="2:23">
      <c r="B2" t="s">
        <v>64</v>
      </c>
      <c r="D2" t="s">
        <v>19</v>
      </c>
      <c r="E2" t="s">
        <v>20</v>
      </c>
      <c r="F2" t="s">
        <v>21</v>
      </c>
      <c r="G2" t="s">
        <v>22</v>
      </c>
      <c r="H2" t="s">
        <v>23</v>
      </c>
      <c r="I2" t="s">
        <v>24</v>
      </c>
      <c r="J2" t="s">
        <v>25</v>
      </c>
      <c r="K2" t="s">
        <v>26</v>
      </c>
      <c r="L2" t="s">
        <v>27</v>
      </c>
      <c r="M2" t="s">
        <v>28</v>
      </c>
      <c r="N2" t="s">
        <v>29</v>
      </c>
      <c r="O2" t="s">
        <v>30</v>
      </c>
      <c r="P2" t="s">
        <v>40</v>
      </c>
      <c r="Q2" t="s">
        <v>41</v>
      </c>
      <c r="R2" t="s">
        <v>42</v>
      </c>
      <c r="S2" t="s">
        <v>50</v>
      </c>
      <c r="T2" t="s">
        <v>49</v>
      </c>
      <c r="U2" t="s">
        <v>48</v>
      </c>
      <c r="V2" t="s">
        <v>51</v>
      </c>
      <c r="W2" t="s">
        <v>77</v>
      </c>
    </row>
    <row r="3" spans="2:23">
      <c r="C3" t="s">
        <v>18</v>
      </c>
      <c r="D3" s="1">
        <v>27</v>
      </c>
      <c r="E3" s="1">
        <v>0</v>
      </c>
      <c r="F3" s="1">
        <v>0</v>
      </c>
      <c r="G3" s="1">
        <v>68</v>
      </c>
      <c r="H3" s="1">
        <v>32</v>
      </c>
      <c r="I3" s="1">
        <v>30</v>
      </c>
      <c r="J3" s="1">
        <v>0</v>
      </c>
      <c r="K3" s="1">
        <v>0</v>
      </c>
      <c r="L3" s="1">
        <v>0</v>
      </c>
      <c r="M3" s="1">
        <v>32</v>
      </c>
      <c r="N3" s="1">
        <v>22</v>
      </c>
      <c r="O3" s="1"/>
      <c r="P3" s="1"/>
      <c r="Q3" s="1"/>
      <c r="R3" s="1"/>
      <c r="S3">
        <f>SUM(D3:R3)</f>
        <v>211</v>
      </c>
      <c r="T3">
        <f>COUNT(D3:R3)</f>
        <v>11</v>
      </c>
      <c r="U3">
        <f>COUNTIF(D3:R3,0)</f>
        <v>5</v>
      </c>
      <c r="V3">
        <f>T3-U3</f>
        <v>6</v>
      </c>
      <c r="W3">
        <f>S3/V3</f>
        <v>35.166666666666664</v>
      </c>
    </row>
    <row r="4" spans="2:23">
      <c r="C4" t="s">
        <v>31</v>
      </c>
      <c r="D4" s="1">
        <v>27</v>
      </c>
      <c r="E4" s="1">
        <v>23</v>
      </c>
      <c r="F4" s="1">
        <v>0</v>
      </c>
      <c r="G4" s="1">
        <v>31</v>
      </c>
      <c r="H4" s="1">
        <v>0</v>
      </c>
      <c r="I4" s="1">
        <v>26</v>
      </c>
      <c r="J4" s="1">
        <v>34</v>
      </c>
      <c r="K4" s="1">
        <v>0</v>
      </c>
      <c r="L4" s="1">
        <v>30</v>
      </c>
      <c r="M4" s="1">
        <v>33</v>
      </c>
      <c r="N4" s="1"/>
      <c r="O4" s="1"/>
      <c r="P4" s="1"/>
      <c r="Q4" s="1"/>
      <c r="R4" s="1"/>
      <c r="S4">
        <f t="shared" ref="S4:S12" si="0">SUM(D4:R4)</f>
        <v>204</v>
      </c>
      <c r="T4">
        <f t="shared" ref="T4:T12" si="1">COUNT(D4:R4)</f>
        <v>10</v>
      </c>
      <c r="U4">
        <f t="shared" ref="U4:U12" si="2">COUNTIF(D4:R4,0)</f>
        <v>3</v>
      </c>
      <c r="V4">
        <f t="shared" ref="V4:V12" si="3">T4-U4</f>
        <v>7</v>
      </c>
      <c r="W4">
        <f t="shared" ref="W4:W12" si="4">S4/V4</f>
        <v>29.142857142857142</v>
      </c>
    </row>
    <row r="5" spans="2:23">
      <c r="C5" t="s">
        <v>32</v>
      </c>
      <c r="D5" s="1">
        <v>0</v>
      </c>
      <c r="E5" s="1">
        <v>0</v>
      </c>
      <c r="F5" s="1">
        <v>0</v>
      </c>
      <c r="G5" s="1">
        <v>26</v>
      </c>
      <c r="H5" s="1">
        <v>29</v>
      </c>
      <c r="I5" s="1">
        <v>31</v>
      </c>
      <c r="J5" s="1">
        <v>30</v>
      </c>
      <c r="K5" s="1">
        <v>28</v>
      </c>
      <c r="L5" s="1">
        <v>30</v>
      </c>
      <c r="M5" s="1">
        <v>27</v>
      </c>
      <c r="N5" s="1"/>
      <c r="O5" s="1"/>
      <c r="P5" s="1"/>
      <c r="Q5" s="1"/>
      <c r="R5" s="1"/>
      <c r="S5">
        <f t="shared" si="0"/>
        <v>201</v>
      </c>
      <c r="T5">
        <f t="shared" si="1"/>
        <v>10</v>
      </c>
      <c r="U5">
        <f t="shared" si="2"/>
        <v>3</v>
      </c>
      <c r="V5">
        <f t="shared" si="3"/>
        <v>7</v>
      </c>
      <c r="W5">
        <f t="shared" si="4"/>
        <v>28.714285714285715</v>
      </c>
    </row>
    <row r="6" spans="2:23">
      <c r="C6" t="s">
        <v>33</v>
      </c>
      <c r="D6" s="1">
        <v>0</v>
      </c>
      <c r="E6" s="1">
        <v>0</v>
      </c>
      <c r="F6" s="1">
        <v>30</v>
      </c>
      <c r="G6" s="1">
        <v>29</v>
      </c>
      <c r="H6" s="1">
        <v>0</v>
      </c>
      <c r="I6" s="1">
        <v>0</v>
      </c>
      <c r="J6" s="1">
        <v>38</v>
      </c>
      <c r="K6" s="1">
        <v>0</v>
      </c>
      <c r="L6" s="1">
        <v>32</v>
      </c>
      <c r="M6" s="1">
        <v>0</v>
      </c>
      <c r="N6" s="1">
        <v>32</v>
      </c>
      <c r="O6" s="1">
        <v>0</v>
      </c>
      <c r="P6" s="1">
        <v>28</v>
      </c>
      <c r="Q6" s="1">
        <v>37</v>
      </c>
      <c r="R6" s="1"/>
      <c r="S6">
        <f t="shared" si="0"/>
        <v>226</v>
      </c>
      <c r="T6">
        <f t="shared" si="1"/>
        <v>14</v>
      </c>
      <c r="U6">
        <f t="shared" si="2"/>
        <v>7</v>
      </c>
      <c r="V6">
        <f t="shared" si="3"/>
        <v>7</v>
      </c>
      <c r="W6">
        <f t="shared" si="4"/>
        <v>32.285714285714285</v>
      </c>
    </row>
    <row r="7" spans="2:23">
      <c r="C7" t="s">
        <v>34</v>
      </c>
      <c r="D7" s="1">
        <v>19</v>
      </c>
      <c r="E7" s="1">
        <v>0</v>
      </c>
      <c r="F7" s="1">
        <v>27</v>
      </c>
      <c r="G7" s="1">
        <v>0</v>
      </c>
      <c r="H7" s="1">
        <v>0</v>
      </c>
      <c r="I7" s="1">
        <v>0</v>
      </c>
      <c r="J7" s="1">
        <v>0</v>
      </c>
      <c r="K7" s="1">
        <v>0</v>
      </c>
      <c r="L7" s="1">
        <v>24</v>
      </c>
      <c r="M7" s="1">
        <v>33</v>
      </c>
      <c r="N7" s="1">
        <v>0</v>
      </c>
      <c r="O7" s="1">
        <v>32</v>
      </c>
      <c r="P7" s="1">
        <v>0</v>
      </c>
      <c r="Q7" s="1">
        <v>40</v>
      </c>
      <c r="R7" s="1">
        <v>29</v>
      </c>
      <c r="S7">
        <f t="shared" si="0"/>
        <v>204</v>
      </c>
      <c r="T7">
        <f t="shared" si="1"/>
        <v>15</v>
      </c>
      <c r="U7">
        <f t="shared" si="2"/>
        <v>8</v>
      </c>
      <c r="V7">
        <f t="shared" si="3"/>
        <v>7</v>
      </c>
      <c r="W7">
        <f t="shared" si="4"/>
        <v>29.142857142857142</v>
      </c>
    </row>
    <row r="8" spans="2:23">
      <c r="C8" t="s">
        <v>35</v>
      </c>
      <c r="D8" s="1">
        <v>0</v>
      </c>
      <c r="E8" s="1">
        <v>26</v>
      </c>
      <c r="F8" s="1">
        <v>23</v>
      </c>
      <c r="G8" s="1">
        <v>39</v>
      </c>
      <c r="H8" s="1">
        <v>0</v>
      </c>
      <c r="I8" s="1">
        <v>26</v>
      </c>
      <c r="J8" s="1">
        <v>41</v>
      </c>
      <c r="K8" s="1">
        <v>0</v>
      </c>
      <c r="L8" s="1">
        <v>30</v>
      </c>
      <c r="M8" s="1">
        <v>24</v>
      </c>
      <c r="N8" s="1"/>
      <c r="O8" s="1"/>
      <c r="P8" s="1"/>
      <c r="Q8" s="1"/>
      <c r="R8" s="1"/>
      <c r="S8">
        <f t="shared" si="0"/>
        <v>209</v>
      </c>
      <c r="T8">
        <f t="shared" si="1"/>
        <v>10</v>
      </c>
      <c r="U8">
        <f t="shared" si="2"/>
        <v>3</v>
      </c>
      <c r="V8">
        <f t="shared" si="3"/>
        <v>7</v>
      </c>
      <c r="W8">
        <f t="shared" si="4"/>
        <v>29.857142857142858</v>
      </c>
    </row>
    <row r="9" spans="2:23">
      <c r="C9" t="s">
        <v>36</v>
      </c>
      <c r="D9" s="1">
        <v>0</v>
      </c>
      <c r="E9" s="1">
        <v>18</v>
      </c>
      <c r="F9" s="1">
        <v>36</v>
      </c>
      <c r="G9" s="1">
        <v>23</v>
      </c>
      <c r="H9" s="1">
        <v>27</v>
      </c>
      <c r="I9" s="1">
        <v>31</v>
      </c>
      <c r="J9" s="1">
        <v>31</v>
      </c>
      <c r="K9" s="1">
        <v>0</v>
      </c>
      <c r="L9" s="1">
        <v>31</v>
      </c>
      <c r="M9" s="1">
        <v>30</v>
      </c>
      <c r="N9" s="1"/>
      <c r="O9" s="1"/>
      <c r="P9" s="1"/>
      <c r="Q9" s="1"/>
      <c r="R9" s="1"/>
      <c r="S9">
        <f t="shared" si="0"/>
        <v>227</v>
      </c>
      <c r="T9">
        <f t="shared" si="1"/>
        <v>10</v>
      </c>
      <c r="U9">
        <f t="shared" si="2"/>
        <v>2</v>
      </c>
      <c r="V9">
        <f t="shared" si="3"/>
        <v>8</v>
      </c>
      <c r="W9">
        <f t="shared" si="4"/>
        <v>28.375</v>
      </c>
    </row>
    <row r="10" spans="2:23">
      <c r="C10" t="s">
        <v>37</v>
      </c>
      <c r="D10" s="1">
        <v>32</v>
      </c>
      <c r="E10" s="1">
        <v>33</v>
      </c>
      <c r="F10" s="1">
        <v>0</v>
      </c>
      <c r="G10" s="1">
        <v>37</v>
      </c>
      <c r="H10" s="1">
        <v>0</v>
      </c>
      <c r="I10" s="1">
        <v>32</v>
      </c>
      <c r="J10" s="1">
        <v>30</v>
      </c>
      <c r="K10" s="1">
        <v>0</v>
      </c>
      <c r="L10" s="1">
        <v>25</v>
      </c>
      <c r="M10" s="1">
        <v>0</v>
      </c>
      <c r="N10" s="1">
        <v>36</v>
      </c>
      <c r="O10" s="1"/>
      <c r="P10" s="1"/>
      <c r="Q10" s="1"/>
      <c r="R10" s="1"/>
      <c r="S10">
        <f t="shared" si="0"/>
        <v>225</v>
      </c>
      <c r="T10">
        <f t="shared" si="1"/>
        <v>11</v>
      </c>
      <c r="U10">
        <f t="shared" si="2"/>
        <v>4</v>
      </c>
      <c r="V10">
        <f t="shared" si="3"/>
        <v>7</v>
      </c>
      <c r="W10">
        <f t="shared" si="4"/>
        <v>32.142857142857146</v>
      </c>
    </row>
    <row r="11" spans="2:23">
      <c r="C11" t="s">
        <v>38</v>
      </c>
      <c r="D11" s="1">
        <v>35</v>
      </c>
      <c r="E11" s="1">
        <v>30</v>
      </c>
      <c r="F11" s="1">
        <v>30</v>
      </c>
      <c r="G11" s="1">
        <v>0</v>
      </c>
      <c r="H11" s="1">
        <v>24</v>
      </c>
      <c r="I11" s="1">
        <v>34</v>
      </c>
      <c r="J11" s="1">
        <v>32</v>
      </c>
      <c r="K11" s="1">
        <v>0</v>
      </c>
      <c r="L11" s="1">
        <v>32</v>
      </c>
      <c r="M11" s="1"/>
      <c r="N11" s="1"/>
      <c r="O11" s="1"/>
      <c r="P11" s="1"/>
      <c r="Q11" s="1"/>
      <c r="R11" s="1"/>
      <c r="S11">
        <f t="shared" si="0"/>
        <v>217</v>
      </c>
      <c r="T11">
        <f t="shared" si="1"/>
        <v>9</v>
      </c>
      <c r="U11">
        <f t="shared" si="2"/>
        <v>2</v>
      </c>
      <c r="V11">
        <f t="shared" si="3"/>
        <v>7</v>
      </c>
      <c r="W11">
        <f t="shared" si="4"/>
        <v>31</v>
      </c>
    </row>
    <row r="12" spans="2:23">
      <c r="C12" t="s">
        <v>39</v>
      </c>
      <c r="D12" s="1">
        <v>0</v>
      </c>
      <c r="E12" s="1">
        <v>0</v>
      </c>
      <c r="F12" s="1">
        <v>33</v>
      </c>
      <c r="G12" s="1">
        <v>29</v>
      </c>
      <c r="H12" s="1">
        <v>34</v>
      </c>
      <c r="I12" s="1">
        <v>35</v>
      </c>
      <c r="J12" s="1">
        <v>33</v>
      </c>
      <c r="K12" s="1">
        <v>30</v>
      </c>
      <c r="L12" s="1">
        <v>30</v>
      </c>
      <c r="M12" s="1"/>
      <c r="N12" s="1"/>
      <c r="O12" s="1"/>
      <c r="P12" s="1"/>
      <c r="Q12" s="1"/>
      <c r="R12" s="1"/>
      <c r="S12">
        <f t="shared" si="0"/>
        <v>224</v>
      </c>
      <c r="T12">
        <f t="shared" si="1"/>
        <v>9</v>
      </c>
      <c r="U12">
        <f t="shared" si="2"/>
        <v>2</v>
      </c>
      <c r="V12">
        <f t="shared" si="3"/>
        <v>7</v>
      </c>
      <c r="W12">
        <f t="shared" si="4"/>
        <v>32</v>
      </c>
    </row>
    <row r="13" spans="2:23">
      <c r="S13" t="s">
        <v>52</v>
      </c>
      <c r="T13">
        <f>AVERAGE(T3:T12)</f>
        <v>10.9</v>
      </c>
      <c r="U13">
        <f t="shared" ref="U13:W13" si="5">AVERAGE(U3:U12)</f>
        <v>3.9</v>
      </c>
      <c r="V13">
        <f t="shared" si="5"/>
        <v>7</v>
      </c>
      <c r="W13">
        <f t="shared" si="5"/>
        <v>30.782738095238095</v>
      </c>
    </row>
  </sheetData>
  <conditionalFormatting sqref="D3:R12">
    <cfRule type="colorScale" priority="1">
      <colorScale>
        <cfvo type="min"/>
        <cfvo type="max"/>
        <color rgb="FFFF7128"/>
        <color theme="9"/>
      </colorScale>
    </cfRule>
    <cfRule type="cellIs" dxfId="7" priority="3" operator="equal">
      <formula>0</formula>
    </cfRule>
  </conditionalFormatting>
  <conditionalFormatting sqref="E7">
    <cfRule type="colorScale" priority="2">
      <colorScale>
        <cfvo type="min"/>
        <cfvo type="max"/>
        <color rgb="FFFF7128"/>
        <color theme="9"/>
      </colorScale>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35EAD-3F46-4CCC-88F0-4EC20634AADD}">
  <dimension ref="B2:AB13"/>
  <sheetViews>
    <sheetView topLeftCell="P1" workbookViewId="0">
      <selection activeCell="Y18" sqref="Y18"/>
    </sheetView>
  </sheetViews>
  <sheetFormatPr defaultRowHeight="15"/>
  <cols>
    <col min="2" max="2" width="25.28515625" bestFit="1" customWidth="1"/>
  </cols>
  <sheetData>
    <row r="2" spans="2:28">
      <c r="B2" t="s">
        <v>65</v>
      </c>
      <c r="D2" t="s">
        <v>19</v>
      </c>
      <c r="E2" t="s">
        <v>20</v>
      </c>
      <c r="F2" t="s">
        <v>21</v>
      </c>
      <c r="G2" t="s">
        <v>22</v>
      </c>
      <c r="H2" t="s">
        <v>23</v>
      </c>
      <c r="I2" t="s">
        <v>24</v>
      </c>
      <c r="J2" t="s">
        <v>25</v>
      </c>
      <c r="K2" t="s">
        <v>26</v>
      </c>
      <c r="L2" t="s">
        <v>27</v>
      </c>
      <c r="M2" t="s">
        <v>28</v>
      </c>
      <c r="N2" t="s">
        <v>29</v>
      </c>
      <c r="O2" t="s">
        <v>30</v>
      </c>
      <c r="P2" t="s">
        <v>40</v>
      </c>
      <c r="Q2" t="s">
        <v>41</v>
      </c>
      <c r="R2" t="s">
        <v>42</v>
      </c>
      <c r="S2" t="s">
        <v>72</v>
      </c>
      <c r="T2" t="s">
        <v>73</v>
      </c>
      <c r="U2" t="s">
        <v>74</v>
      </c>
      <c r="V2" t="s">
        <v>75</v>
      </c>
      <c r="W2" t="s">
        <v>76</v>
      </c>
      <c r="X2" t="s">
        <v>50</v>
      </c>
      <c r="Y2" t="s">
        <v>49</v>
      </c>
      <c r="Z2" t="s">
        <v>48</v>
      </c>
      <c r="AA2" t="s">
        <v>51</v>
      </c>
      <c r="AB2" t="s">
        <v>77</v>
      </c>
    </row>
    <row r="3" spans="2:28">
      <c r="C3" t="s">
        <v>18</v>
      </c>
      <c r="D3" s="1">
        <v>37</v>
      </c>
      <c r="E3" s="1">
        <v>0</v>
      </c>
      <c r="F3" s="1">
        <v>39</v>
      </c>
      <c r="G3" s="1">
        <v>31</v>
      </c>
      <c r="H3" s="1">
        <v>41</v>
      </c>
      <c r="I3" s="1">
        <v>0</v>
      </c>
      <c r="J3" s="1">
        <v>37</v>
      </c>
      <c r="K3" s="1">
        <v>37</v>
      </c>
      <c r="L3" s="1"/>
      <c r="M3" s="1"/>
      <c r="N3" s="1"/>
      <c r="O3" s="1"/>
      <c r="P3" s="1"/>
      <c r="Q3" s="1"/>
      <c r="R3" s="1"/>
      <c r="S3" s="1"/>
      <c r="T3" s="1"/>
      <c r="U3" s="1"/>
      <c r="V3" s="1"/>
      <c r="W3" s="1"/>
      <c r="X3">
        <f t="shared" ref="X3:X4" si="0">SUM(D3:W3)</f>
        <v>222</v>
      </c>
      <c r="Y3">
        <f t="shared" ref="Y3:Y4" si="1">COUNT(D3:W3)</f>
        <v>8</v>
      </c>
      <c r="Z3">
        <f>COUNTIF(D3:W3,0)</f>
        <v>2</v>
      </c>
      <c r="AA3">
        <f>Y3-Z3</f>
        <v>6</v>
      </c>
      <c r="AB3">
        <f>X3/AA3</f>
        <v>37</v>
      </c>
    </row>
    <row r="4" spans="2:28">
      <c r="C4" t="s">
        <v>31</v>
      </c>
      <c r="D4" s="1">
        <v>32</v>
      </c>
      <c r="E4" s="1">
        <v>0</v>
      </c>
      <c r="F4" s="1">
        <v>0</v>
      </c>
      <c r="G4" s="1">
        <v>30</v>
      </c>
      <c r="H4" s="1">
        <v>0</v>
      </c>
      <c r="I4" s="1">
        <v>29</v>
      </c>
      <c r="J4" s="1">
        <v>0</v>
      </c>
      <c r="K4" s="1">
        <v>36</v>
      </c>
      <c r="L4" s="1">
        <v>0</v>
      </c>
      <c r="M4" s="1">
        <v>45</v>
      </c>
      <c r="N4" s="1">
        <v>0</v>
      </c>
      <c r="O4" s="1">
        <v>34</v>
      </c>
      <c r="P4" s="1"/>
      <c r="Q4" s="1"/>
      <c r="R4" s="1"/>
      <c r="S4" s="1"/>
      <c r="T4" s="1"/>
      <c r="U4" s="1"/>
      <c r="V4" s="1"/>
      <c r="W4" s="1"/>
      <c r="X4">
        <f t="shared" si="0"/>
        <v>206</v>
      </c>
      <c r="Y4">
        <f t="shared" si="1"/>
        <v>12</v>
      </c>
      <c r="Z4">
        <f t="shared" ref="Z4:Z12" si="2">COUNTIF(D4:W4,0)</f>
        <v>6</v>
      </c>
      <c r="AA4">
        <f t="shared" ref="AA4:AA12" si="3">Y4-Z4</f>
        <v>6</v>
      </c>
      <c r="AB4">
        <f t="shared" ref="AB4:AB12" si="4">X4/AA4</f>
        <v>34.333333333333336</v>
      </c>
    </row>
    <row r="5" spans="2:28">
      <c r="C5" t="s">
        <v>32</v>
      </c>
      <c r="D5" s="1">
        <v>0</v>
      </c>
      <c r="E5" s="1">
        <v>31</v>
      </c>
      <c r="F5" s="1">
        <v>0</v>
      </c>
      <c r="G5" s="1">
        <v>0</v>
      </c>
      <c r="H5" s="1">
        <v>0</v>
      </c>
      <c r="I5" s="1">
        <v>26</v>
      </c>
      <c r="J5" s="1">
        <v>37</v>
      </c>
      <c r="K5" s="1">
        <v>0</v>
      </c>
      <c r="L5" s="1">
        <v>0</v>
      </c>
      <c r="M5" s="1">
        <v>0</v>
      </c>
      <c r="N5" s="1">
        <v>0</v>
      </c>
      <c r="O5" s="1">
        <v>36</v>
      </c>
      <c r="P5" s="1">
        <v>0</v>
      </c>
      <c r="Q5" s="1">
        <v>0</v>
      </c>
      <c r="R5" s="1">
        <v>0</v>
      </c>
      <c r="S5" s="1">
        <v>0</v>
      </c>
      <c r="T5" s="1">
        <v>43</v>
      </c>
      <c r="U5" s="1">
        <v>0</v>
      </c>
      <c r="V5" s="1">
        <v>18</v>
      </c>
      <c r="W5" s="1">
        <v>36</v>
      </c>
      <c r="X5">
        <f>SUM(D5:W5)</f>
        <v>227</v>
      </c>
      <c r="Y5">
        <f>COUNT(D5:W5)</f>
        <v>20</v>
      </c>
      <c r="Z5">
        <f t="shared" si="2"/>
        <v>13</v>
      </c>
      <c r="AA5">
        <f t="shared" si="3"/>
        <v>7</v>
      </c>
      <c r="AB5">
        <f t="shared" si="4"/>
        <v>32.428571428571431</v>
      </c>
    </row>
    <row r="6" spans="2:28">
      <c r="C6" t="s">
        <v>33</v>
      </c>
      <c r="D6" s="1">
        <v>0</v>
      </c>
      <c r="E6" s="1">
        <v>0</v>
      </c>
      <c r="F6" s="1">
        <v>0</v>
      </c>
      <c r="G6" s="1">
        <v>40</v>
      </c>
      <c r="H6" s="1">
        <v>34</v>
      </c>
      <c r="I6" s="1">
        <v>36</v>
      </c>
      <c r="J6" s="1">
        <v>36</v>
      </c>
      <c r="K6" s="1">
        <v>0</v>
      </c>
      <c r="L6" s="1">
        <v>0</v>
      </c>
      <c r="M6" s="1">
        <v>28</v>
      </c>
      <c r="N6" s="1">
        <v>0</v>
      </c>
      <c r="O6" s="1">
        <v>30</v>
      </c>
      <c r="P6" s="1"/>
      <c r="Q6" s="1"/>
      <c r="R6" s="1"/>
      <c r="S6" s="1"/>
      <c r="T6" s="1"/>
      <c r="U6" s="1"/>
      <c r="V6" s="1"/>
      <c r="W6" s="1"/>
      <c r="X6">
        <f t="shared" ref="X6:X12" si="5">SUM(D6:W6)</f>
        <v>204</v>
      </c>
      <c r="Y6">
        <f t="shared" ref="Y6:Y12" si="6">COUNT(D6:W6)</f>
        <v>12</v>
      </c>
      <c r="Z6">
        <f t="shared" si="2"/>
        <v>6</v>
      </c>
      <c r="AA6">
        <f t="shared" si="3"/>
        <v>6</v>
      </c>
      <c r="AB6">
        <f t="shared" si="4"/>
        <v>34</v>
      </c>
    </row>
    <row r="7" spans="2:28">
      <c r="C7" t="s">
        <v>34</v>
      </c>
      <c r="D7" s="1">
        <v>27</v>
      </c>
      <c r="E7" s="1">
        <v>34</v>
      </c>
      <c r="F7" s="1">
        <v>45</v>
      </c>
      <c r="G7" s="1">
        <v>28</v>
      </c>
      <c r="H7" s="1">
        <v>40</v>
      </c>
      <c r="I7" s="1">
        <v>0</v>
      </c>
      <c r="J7" s="1">
        <v>29</v>
      </c>
      <c r="K7" s="1"/>
      <c r="L7" s="1"/>
      <c r="M7" s="1"/>
      <c r="N7" s="1"/>
      <c r="O7" s="1"/>
      <c r="P7" s="1"/>
      <c r="Q7" s="1"/>
      <c r="R7" s="1"/>
      <c r="S7" s="1"/>
      <c r="T7" s="1"/>
      <c r="U7" s="1"/>
      <c r="V7" s="1"/>
      <c r="W7" s="1"/>
      <c r="X7">
        <f t="shared" si="5"/>
        <v>203</v>
      </c>
      <c r="Y7">
        <f t="shared" si="6"/>
        <v>7</v>
      </c>
      <c r="Z7">
        <f t="shared" si="2"/>
        <v>1</v>
      </c>
      <c r="AA7">
        <f t="shared" si="3"/>
        <v>6</v>
      </c>
      <c r="AB7">
        <f t="shared" si="4"/>
        <v>33.833333333333336</v>
      </c>
    </row>
    <row r="8" spans="2:28">
      <c r="C8" t="s">
        <v>35</v>
      </c>
      <c r="D8" s="1">
        <v>36</v>
      </c>
      <c r="E8" s="1">
        <v>0</v>
      </c>
      <c r="F8" s="1">
        <v>33</v>
      </c>
      <c r="G8" s="1">
        <v>0</v>
      </c>
      <c r="H8" s="1">
        <v>34</v>
      </c>
      <c r="I8" s="1">
        <v>36</v>
      </c>
      <c r="J8" s="1">
        <v>34</v>
      </c>
      <c r="K8" s="1">
        <v>44</v>
      </c>
      <c r="L8" s="1"/>
      <c r="M8" s="1"/>
      <c r="N8" s="1"/>
      <c r="O8" s="1"/>
      <c r="P8" s="1"/>
      <c r="Q8" s="1"/>
      <c r="R8" s="1"/>
      <c r="S8" s="1"/>
      <c r="T8" s="1"/>
      <c r="U8" s="1"/>
      <c r="V8" s="1"/>
      <c r="W8" s="1"/>
      <c r="X8">
        <f t="shared" si="5"/>
        <v>217</v>
      </c>
      <c r="Y8">
        <f t="shared" si="6"/>
        <v>8</v>
      </c>
      <c r="Z8">
        <f t="shared" si="2"/>
        <v>2</v>
      </c>
      <c r="AA8">
        <f t="shared" si="3"/>
        <v>6</v>
      </c>
      <c r="AB8">
        <f t="shared" si="4"/>
        <v>36.166666666666664</v>
      </c>
    </row>
    <row r="9" spans="2:28">
      <c r="C9" t="s">
        <v>36</v>
      </c>
      <c r="D9" s="1">
        <v>41</v>
      </c>
      <c r="E9" s="1">
        <v>0</v>
      </c>
      <c r="F9" s="1">
        <v>31</v>
      </c>
      <c r="G9" s="1">
        <v>37</v>
      </c>
      <c r="H9" s="1">
        <v>0</v>
      </c>
      <c r="I9" s="1">
        <v>0</v>
      </c>
      <c r="J9" s="1">
        <v>0</v>
      </c>
      <c r="K9" s="1">
        <v>0</v>
      </c>
      <c r="L9" s="1">
        <v>37</v>
      </c>
      <c r="M9" s="1">
        <v>0</v>
      </c>
      <c r="N9" s="1">
        <v>0</v>
      </c>
      <c r="O9" s="1">
        <v>28</v>
      </c>
      <c r="P9" s="1">
        <v>45</v>
      </c>
      <c r="Q9" s="1"/>
      <c r="R9" s="1"/>
      <c r="S9" s="1"/>
      <c r="T9" s="1"/>
      <c r="U9" s="1"/>
      <c r="V9" s="1"/>
      <c r="W9" s="1"/>
      <c r="X9">
        <f t="shared" si="5"/>
        <v>219</v>
      </c>
      <c r="Y9">
        <f t="shared" si="6"/>
        <v>13</v>
      </c>
      <c r="Z9">
        <f t="shared" si="2"/>
        <v>7</v>
      </c>
      <c r="AA9">
        <f t="shared" si="3"/>
        <v>6</v>
      </c>
      <c r="AB9">
        <f t="shared" si="4"/>
        <v>36.5</v>
      </c>
    </row>
    <row r="10" spans="2:28">
      <c r="C10" t="s">
        <v>37</v>
      </c>
      <c r="D10" s="1">
        <v>0</v>
      </c>
      <c r="E10" s="1">
        <v>34</v>
      </c>
      <c r="F10" s="1">
        <v>37</v>
      </c>
      <c r="G10" s="1">
        <v>31</v>
      </c>
      <c r="H10" s="1">
        <v>30</v>
      </c>
      <c r="I10" s="1">
        <v>40</v>
      </c>
      <c r="J10" s="1">
        <v>27</v>
      </c>
      <c r="K10" s="1">
        <v>30</v>
      </c>
      <c r="L10" s="1"/>
      <c r="M10" s="1"/>
      <c r="N10" s="1"/>
      <c r="O10" s="1"/>
      <c r="P10" s="1"/>
      <c r="Q10" s="1"/>
      <c r="R10" s="1"/>
      <c r="S10" s="1"/>
      <c r="T10" s="1"/>
      <c r="U10" s="1"/>
      <c r="V10" s="1"/>
      <c r="W10" s="1"/>
      <c r="X10">
        <f t="shared" si="5"/>
        <v>229</v>
      </c>
      <c r="Y10">
        <f t="shared" si="6"/>
        <v>8</v>
      </c>
      <c r="Z10">
        <f t="shared" si="2"/>
        <v>1</v>
      </c>
      <c r="AA10">
        <f t="shared" si="3"/>
        <v>7</v>
      </c>
      <c r="AB10">
        <f t="shared" si="4"/>
        <v>32.714285714285715</v>
      </c>
    </row>
    <row r="11" spans="2:28">
      <c r="C11" t="s">
        <v>38</v>
      </c>
      <c r="D11" s="1">
        <v>33</v>
      </c>
      <c r="E11" s="1">
        <v>0</v>
      </c>
      <c r="F11" s="1">
        <v>33</v>
      </c>
      <c r="G11" s="1">
        <v>46</v>
      </c>
      <c r="H11" s="1">
        <v>41</v>
      </c>
      <c r="I11" s="1">
        <v>38</v>
      </c>
      <c r="J11" s="1">
        <v>0</v>
      </c>
      <c r="K11" s="1">
        <v>32</v>
      </c>
      <c r="L11" s="1"/>
      <c r="M11" s="1"/>
      <c r="N11" s="1"/>
      <c r="O11" s="1"/>
      <c r="P11" s="1"/>
      <c r="Q11" s="1"/>
      <c r="R11" s="1"/>
      <c r="S11" s="1"/>
      <c r="T11" s="1"/>
      <c r="U11" s="1"/>
      <c r="V11" s="1"/>
      <c r="W11" s="1"/>
      <c r="X11">
        <f t="shared" si="5"/>
        <v>223</v>
      </c>
      <c r="Y11">
        <f t="shared" si="6"/>
        <v>8</v>
      </c>
      <c r="Z11">
        <f t="shared" si="2"/>
        <v>2</v>
      </c>
      <c r="AA11">
        <f t="shared" si="3"/>
        <v>6</v>
      </c>
      <c r="AB11">
        <f t="shared" si="4"/>
        <v>37.166666666666664</v>
      </c>
    </row>
    <row r="12" spans="2:28">
      <c r="C12" t="s">
        <v>39</v>
      </c>
      <c r="D12" s="1">
        <v>42</v>
      </c>
      <c r="E12" s="1">
        <v>0</v>
      </c>
      <c r="F12" s="1">
        <v>0</v>
      </c>
      <c r="G12" s="1">
        <v>0</v>
      </c>
      <c r="H12" s="1">
        <v>0</v>
      </c>
      <c r="I12" s="1">
        <v>0</v>
      </c>
      <c r="J12" s="1">
        <v>37</v>
      </c>
      <c r="K12" s="1">
        <v>0</v>
      </c>
      <c r="L12" s="1">
        <v>0</v>
      </c>
      <c r="M12" s="1">
        <v>0</v>
      </c>
      <c r="N12" s="1">
        <v>0</v>
      </c>
      <c r="O12" s="1">
        <v>0</v>
      </c>
      <c r="P12" s="1">
        <v>39</v>
      </c>
      <c r="Q12" s="1">
        <v>33</v>
      </c>
      <c r="R12" s="1">
        <v>40</v>
      </c>
      <c r="S12" s="1">
        <v>0</v>
      </c>
      <c r="T12" s="1">
        <v>38</v>
      </c>
      <c r="U12" s="1"/>
      <c r="V12" s="1"/>
      <c r="W12" s="1"/>
      <c r="X12">
        <f t="shared" si="5"/>
        <v>229</v>
      </c>
      <c r="Y12">
        <f t="shared" si="6"/>
        <v>17</v>
      </c>
      <c r="Z12">
        <f t="shared" si="2"/>
        <v>11</v>
      </c>
      <c r="AA12">
        <f t="shared" si="3"/>
        <v>6</v>
      </c>
      <c r="AB12">
        <f t="shared" si="4"/>
        <v>38.166666666666664</v>
      </c>
    </row>
    <row r="13" spans="2:28">
      <c r="X13" t="s">
        <v>52</v>
      </c>
      <c r="Y13">
        <f>AVERAGE(Y3:Y12)</f>
        <v>11.3</v>
      </c>
      <c r="Z13">
        <f t="shared" ref="Z13:AB13" si="7">AVERAGE(Z3:Z12)</f>
        <v>5.0999999999999996</v>
      </c>
      <c r="AA13">
        <f t="shared" si="7"/>
        <v>6.2</v>
      </c>
      <c r="AB13">
        <f t="shared" si="7"/>
        <v>35.230952380952388</v>
      </c>
    </row>
  </sheetData>
  <phoneticPr fontId="3" type="noConversion"/>
  <conditionalFormatting sqref="D3:W12">
    <cfRule type="colorScale" priority="1">
      <colorScale>
        <cfvo type="min"/>
        <cfvo type="max"/>
        <color rgb="FFFF7128"/>
        <color theme="9"/>
      </colorScale>
    </cfRule>
    <cfRule type="cellIs" dxfId="6" priority="3" operator="equal">
      <formula>0</formula>
    </cfRule>
  </conditionalFormatting>
  <conditionalFormatting sqref="E7">
    <cfRule type="colorScale" priority="2">
      <colorScale>
        <cfvo type="min"/>
        <cfvo type="max"/>
        <color rgb="FFFF7128"/>
        <color theme="9"/>
      </colorScale>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26DD2-4504-40C1-A5C3-445DFA188708}">
  <dimension ref="B2:AB13"/>
  <sheetViews>
    <sheetView topLeftCell="Q1" workbookViewId="0">
      <selection activeCell="Z19" sqref="Z19"/>
    </sheetView>
  </sheetViews>
  <sheetFormatPr defaultRowHeight="15"/>
  <cols>
    <col min="2" max="2" width="25.28515625" bestFit="1" customWidth="1"/>
  </cols>
  <sheetData>
    <row r="2" spans="2:28">
      <c r="B2" t="s">
        <v>66</v>
      </c>
      <c r="D2" t="s">
        <v>19</v>
      </c>
      <c r="E2" t="s">
        <v>20</v>
      </c>
      <c r="F2" t="s">
        <v>21</v>
      </c>
      <c r="G2" t="s">
        <v>22</v>
      </c>
      <c r="H2" t="s">
        <v>23</v>
      </c>
      <c r="I2" t="s">
        <v>24</v>
      </c>
      <c r="J2" t="s">
        <v>25</v>
      </c>
      <c r="K2" t="s">
        <v>26</v>
      </c>
      <c r="L2" t="s">
        <v>27</v>
      </c>
      <c r="M2" t="s">
        <v>28</v>
      </c>
      <c r="N2" t="s">
        <v>29</v>
      </c>
      <c r="O2" t="s">
        <v>30</v>
      </c>
      <c r="P2" t="s">
        <v>40</v>
      </c>
      <c r="Q2" t="s">
        <v>41</v>
      </c>
      <c r="R2" t="s">
        <v>42</v>
      </c>
      <c r="S2" t="s">
        <v>72</v>
      </c>
      <c r="T2" t="s">
        <v>73</v>
      </c>
      <c r="U2" t="s">
        <v>74</v>
      </c>
      <c r="V2" t="s">
        <v>75</v>
      </c>
      <c r="W2" t="s">
        <v>76</v>
      </c>
      <c r="X2" t="s">
        <v>50</v>
      </c>
      <c r="Y2" t="s">
        <v>49</v>
      </c>
      <c r="Z2" t="s">
        <v>48</v>
      </c>
      <c r="AA2" t="s">
        <v>51</v>
      </c>
      <c r="AB2" t="s">
        <v>77</v>
      </c>
    </row>
    <row r="3" spans="2:28">
      <c r="C3" t="s">
        <v>18</v>
      </c>
      <c r="D3" s="1">
        <v>38</v>
      </c>
      <c r="E3" s="1">
        <v>0</v>
      </c>
      <c r="F3" s="1">
        <v>0</v>
      </c>
      <c r="G3" s="1">
        <v>34</v>
      </c>
      <c r="H3" s="1">
        <v>34</v>
      </c>
      <c r="I3" s="1">
        <v>0</v>
      </c>
      <c r="J3" s="1">
        <v>34</v>
      </c>
      <c r="K3" s="1">
        <v>51</v>
      </c>
      <c r="L3" s="1">
        <v>37</v>
      </c>
      <c r="M3" s="1"/>
      <c r="N3" s="1"/>
      <c r="O3" s="1"/>
      <c r="P3" s="1"/>
      <c r="Q3" s="1"/>
      <c r="R3" s="1"/>
      <c r="S3" s="1"/>
      <c r="T3" s="1"/>
      <c r="U3" s="1"/>
      <c r="V3" s="1"/>
      <c r="W3" s="1"/>
      <c r="X3">
        <f t="shared" ref="X3:X6" si="0">SUM(D3:W3)</f>
        <v>228</v>
      </c>
      <c r="Y3">
        <f t="shared" ref="Y3:Y11" si="1">COUNT(D3:W3)</f>
        <v>9</v>
      </c>
      <c r="Z3">
        <f t="shared" ref="Z3:Z6" si="2">COUNTIF(D3:W3,0)</f>
        <v>3</v>
      </c>
      <c r="AA3">
        <f>Y3-Z3</f>
        <v>6</v>
      </c>
      <c r="AB3">
        <f>X3/AA3</f>
        <v>38</v>
      </c>
    </row>
    <row r="4" spans="2:28">
      <c r="C4" t="s">
        <v>31</v>
      </c>
      <c r="D4" s="1">
        <v>0</v>
      </c>
      <c r="E4" s="1">
        <v>49</v>
      </c>
      <c r="F4" s="1">
        <v>0</v>
      </c>
      <c r="G4" s="1">
        <v>0</v>
      </c>
      <c r="H4" s="1">
        <v>0</v>
      </c>
      <c r="I4" s="1">
        <v>48</v>
      </c>
      <c r="J4" s="1">
        <v>46</v>
      </c>
      <c r="K4" s="1">
        <v>0</v>
      </c>
      <c r="L4" s="1">
        <v>36</v>
      </c>
      <c r="M4" s="1">
        <v>0</v>
      </c>
      <c r="N4" s="1">
        <v>43</v>
      </c>
      <c r="O4" s="1"/>
      <c r="P4" s="1"/>
      <c r="Q4" s="1"/>
      <c r="R4" s="1"/>
      <c r="S4" s="1"/>
      <c r="T4" s="1"/>
      <c r="U4" s="1"/>
      <c r="V4" s="1"/>
      <c r="W4" s="1"/>
      <c r="X4">
        <f t="shared" si="0"/>
        <v>222</v>
      </c>
      <c r="Y4">
        <f t="shared" si="1"/>
        <v>11</v>
      </c>
      <c r="Z4">
        <f t="shared" si="2"/>
        <v>6</v>
      </c>
      <c r="AA4">
        <f t="shared" ref="AA4:AA12" si="3">Y4-Z4</f>
        <v>5</v>
      </c>
      <c r="AB4">
        <f t="shared" ref="AB4:AB12" si="4">X4/AA4</f>
        <v>44.4</v>
      </c>
    </row>
    <row r="5" spans="2:28">
      <c r="C5" t="s">
        <v>32</v>
      </c>
      <c r="D5" s="1">
        <v>0</v>
      </c>
      <c r="E5" s="1">
        <v>0</v>
      </c>
      <c r="F5" s="1">
        <v>38</v>
      </c>
      <c r="G5" s="1">
        <v>33</v>
      </c>
      <c r="H5" s="1">
        <v>50</v>
      </c>
      <c r="I5" s="1">
        <v>42</v>
      </c>
      <c r="J5" s="1">
        <v>0</v>
      </c>
      <c r="K5" s="1">
        <v>45</v>
      </c>
      <c r="L5" s="1"/>
      <c r="M5" s="1"/>
      <c r="N5" s="1"/>
      <c r="O5" s="1"/>
      <c r="P5" s="1"/>
      <c r="Q5" s="1"/>
      <c r="R5" s="1"/>
      <c r="S5" s="1"/>
      <c r="T5" s="1"/>
      <c r="U5" s="1"/>
      <c r="V5" s="1"/>
      <c r="W5" s="1"/>
      <c r="X5">
        <f t="shared" si="0"/>
        <v>208</v>
      </c>
      <c r="Y5">
        <f t="shared" si="1"/>
        <v>8</v>
      </c>
      <c r="Z5">
        <f t="shared" si="2"/>
        <v>3</v>
      </c>
      <c r="AA5">
        <f t="shared" si="3"/>
        <v>5</v>
      </c>
      <c r="AB5">
        <f t="shared" si="4"/>
        <v>41.6</v>
      </c>
    </row>
    <row r="6" spans="2:28">
      <c r="C6" t="s">
        <v>33</v>
      </c>
      <c r="D6" s="1">
        <v>0</v>
      </c>
      <c r="E6" s="1">
        <v>0</v>
      </c>
      <c r="F6" s="1">
        <v>0</v>
      </c>
      <c r="G6" s="1">
        <v>37</v>
      </c>
      <c r="H6" s="1">
        <v>0</v>
      </c>
      <c r="I6" s="1">
        <v>0</v>
      </c>
      <c r="J6" s="1">
        <v>36</v>
      </c>
      <c r="K6" s="1">
        <v>42</v>
      </c>
      <c r="L6" s="1">
        <v>39</v>
      </c>
      <c r="M6" s="1">
        <v>39</v>
      </c>
      <c r="N6" s="1">
        <v>0</v>
      </c>
      <c r="O6" s="1">
        <v>39</v>
      </c>
      <c r="P6" s="1"/>
      <c r="Q6" s="1"/>
      <c r="R6" s="1"/>
      <c r="S6" s="1"/>
      <c r="T6" s="1"/>
      <c r="U6" s="1"/>
      <c r="V6" s="1"/>
      <c r="W6" s="1"/>
      <c r="X6">
        <f t="shared" si="0"/>
        <v>232</v>
      </c>
      <c r="Y6">
        <f t="shared" si="1"/>
        <v>12</v>
      </c>
      <c r="Z6">
        <f t="shared" si="2"/>
        <v>6</v>
      </c>
      <c r="AA6">
        <f t="shared" si="3"/>
        <v>6</v>
      </c>
      <c r="AB6">
        <f t="shared" si="4"/>
        <v>38.666666666666664</v>
      </c>
    </row>
    <row r="7" spans="2:28">
      <c r="C7" t="s">
        <v>34</v>
      </c>
      <c r="D7" s="1">
        <v>0</v>
      </c>
      <c r="E7" s="1">
        <v>0</v>
      </c>
      <c r="F7" s="1">
        <v>0</v>
      </c>
      <c r="G7" s="1">
        <v>33</v>
      </c>
      <c r="H7" s="1">
        <v>0</v>
      </c>
      <c r="I7" s="1">
        <v>0</v>
      </c>
      <c r="J7" s="1">
        <v>39</v>
      </c>
      <c r="K7" s="1">
        <v>0</v>
      </c>
      <c r="L7" s="1">
        <v>0</v>
      </c>
      <c r="M7" s="1">
        <v>0</v>
      </c>
      <c r="N7" s="1">
        <v>0</v>
      </c>
      <c r="O7" s="1">
        <v>0</v>
      </c>
      <c r="P7" s="1">
        <v>0</v>
      </c>
      <c r="Q7" s="1">
        <v>0</v>
      </c>
      <c r="R7" s="1">
        <v>40</v>
      </c>
      <c r="S7" s="1">
        <v>0</v>
      </c>
      <c r="T7" s="1">
        <v>0</v>
      </c>
      <c r="U7" s="1">
        <v>43</v>
      </c>
      <c r="V7" s="1">
        <v>40</v>
      </c>
      <c r="W7" s="1">
        <v>46</v>
      </c>
      <c r="X7">
        <f>SUM(D7:W7)</f>
        <v>241</v>
      </c>
      <c r="Y7">
        <f>COUNT(D7:W7)</f>
        <v>20</v>
      </c>
      <c r="Z7">
        <f>COUNTIF(D7:W7,0)</f>
        <v>14</v>
      </c>
      <c r="AA7">
        <f t="shared" si="3"/>
        <v>6</v>
      </c>
      <c r="AB7">
        <f t="shared" si="4"/>
        <v>40.166666666666664</v>
      </c>
    </row>
    <row r="8" spans="2:28">
      <c r="C8" t="s">
        <v>35</v>
      </c>
      <c r="D8" s="1">
        <v>0</v>
      </c>
      <c r="E8" s="1">
        <v>38</v>
      </c>
      <c r="F8" s="1">
        <v>41</v>
      </c>
      <c r="G8" s="1">
        <v>43</v>
      </c>
      <c r="H8" s="1">
        <v>33</v>
      </c>
      <c r="I8" s="1">
        <v>0</v>
      </c>
      <c r="J8" s="1">
        <v>0</v>
      </c>
      <c r="K8" s="1">
        <v>0</v>
      </c>
      <c r="L8" s="1">
        <v>64</v>
      </c>
      <c r="M8" s="1"/>
      <c r="N8" s="1"/>
      <c r="O8" s="1"/>
      <c r="P8" s="1"/>
      <c r="Q8" s="1"/>
      <c r="R8" s="1"/>
      <c r="S8" s="1"/>
      <c r="T8" s="1"/>
      <c r="U8" s="1"/>
      <c r="V8" s="1"/>
      <c r="W8" s="1"/>
      <c r="X8">
        <f t="shared" ref="X8:X12" si="5">SUM(D8:W8)</f>
        <v>219</v>
      </c>
      <c r="Y8">
        <f t="shared" si="1"/>
        <v>9</v>
      </c>
      <c r="Z8">
        <f t="shared" ref="Z8:Z12" si="6">COUNTIF(D8:W8,0)</f>
        <v>4</v>
      </c>
      <c r="AA8">
        <f t="shared" si="3"/>
        <v>5</v>
      </c>
      <c r="AB8">
        <f t="shared" si="4"/>
        <v>43.8</v>
      </c>
    </row>
    <row r="9" spans="2:28">
      <c r="C9" t="s">
        <v>36</v>
      </c>
      <c r="D9" s="1">
        <v>0</v>
      </c>
      <c r="E9" s="1">
        <v>35</v>
      </c>
      <c r="F9" s="1">
        <v>39</v>
      </c>
      <c r="G9" s="1">
        <v>0</v>
      </c>
      <c r="H9" s="1">
        <v>0</v>
      </c>
      <c r="I9" s="1">
        <v>29</v>
      </c>
      <c r="J9" s="1">
        <v>47</v>
      </c>
      <c r="K9" s="1">
        <v>37</v>
      </c>
      <c r="L9" s="1">
        <v>34</v>
      </c>
      <c r="M9" s="1"/>
      <c r="N9" s="1"/>
      <c r="O9" s="1"/>
      <c r="P9" s="1"/>
      <c r="Q9" s="1"/>
      <c r="R9" s="1"/>
      <c r="S9" s="1"/>
      <c r="T9" s="1"/>
      <c r="U9" s="1"/>
      <c r="V9" s="1"/>
      <c r="W9" s="1"/>
      <c r="X9">
        <f t="shared" si="5"/>
        <v>221</v>
      </c>
      <c r="Y9">
        <f t="shared" si="1"/>
        <v>9</v>
      </c>
      <c r="Z9">
        <f t="shared" si="6"/>
        <v>3</v>
      </c>
      <c r="AA9">
        <f t="shared" si="3"/>
        <v>6</v>
      </c>
      <c r="AB9">
        <f t="shared" si="4"/>
        <v>36.833333333333336</v>
      </c>
    </row>
    <row r="10" spans="2:28">
      <c r="C10" t="s">
        <v>37</v>
      </c>
      <c r="D10" s="1">
        <v>0</v>
      </c>
      <c r="E10" s="1">
        <v>51</v>
      </c>
      <c r="F10" s="1">
        <v>0</v>
      </c>
      <c r="G10" s="1">
        <v>0</v>
      </c>
      <c r="H10" s="1">
        <v>45</v>
      </c>
      <c r="I10" s="1">
        <v>50</v>
      </c>
      <c r="J10" s="1">
        <v>0</v>
      </c>
      <c r="K10" s="1">
        <v>0</v>
      </c>
      <c r="L10" s="1">
        <v>32</v>
      </c>
      <c r="M10" s="1">
        <v>0</v>
      </c>
      <c r="N10" s="1">
        <v>28</v>
      </c>
      <c r="O10" s="1"/>
      <c r="P10" s="1"/>
      <c r="Q10" s="1"/>
      <c r="R10" s="1"/>
      <c r="S10" s="1"/>
      <c r="T10" s="1"/>
      <c r="U10" s="1"/>
      <c r="V10" s="1"/>
      <c r="W10" s="1"/>
      <c r="X10">
        <f t="shared" si="5"/>
        <v>206</v>
      </c>
      <c r="Y10">
        <f t="shared" si="1"/>
        <v>11</v>
      </c>
      <c r="Z10">
        <f t="shared" si="6"/>
        <v>6</v>
      </c>
      <c r="AA10">
        <f t="shared" si="3"/>
        <v>5</v>
      </c>
      <c r="AB10">
        <f t="shared" si="4"/>
        <v>41.2</v>
      </c>
    </row>
    <row r="11" spans="2:28">
      <c r="C11" t="s">
        <v>38</v>
      </c>
      <c r="D11" s="1">
        <v>0</v>
      </c>
      <c r="E11" s="1">
        <v>39</v>
      </c>
      <c r="F11" s="1">
        <v>34</v>
      </c>
      <c r="G11" s="1">
        <v>0</v>
      </c>
      <c r="H11" s="1">
        <v>0</v>
      </c>
      <c r="I11" s="1">
        <v>0</v>
      </c>
      <c r="J11" s="1">
        <v>0</v>
      </c>
      <c r="K11" s="1">
        <v>0</v>
      </c>
      <c r="L11" s="1">
        <v>49</v>
      </c>
      <c r="M11" s="1">
        <v>33</v>
      </c>
      <c r="N11" s="1">
        <v>0</v>
      </c>
      <c r="O11" s="1">
        <v>0</v>
      </c>
      <c r="P11" s="1">
        <v>0</v>
      </c>
      <c r="Q11" s="1">
        <v>0</v>
      </c>
      <c r="R11" s="1">
        <v>32</v>
      </c>
      <c r="S11" s="1">
        <v>31</v>
      </c>
      <c r="T11" s="1"/>
      <c r="U11" s="1"/>
      <c r="V11" s="1"/>
      <c r="W11" s="1"/>
      <c r="X11">
        <f t="shared" si="5"/>
        <v>218</v>
      </c>
      <c r="Y11">
        <f t="shared" si="1"/>
        <v>16</v>
      </c>
      <c r="Z11">
        <f t="shared" si="6"/>
        <v>10</v>
      </c>
      <c r="AA11">
        <f t="shared" si="3"/>
        <v>6</v>
      </c>
      <c r="AB11">
        <f t="shared" si="4"/>
        <v>36.333333333333336</v>
      </c>
    </row>
    <row r="12" spans="2:28">
      <c r="C12" t="s">
        <v>39</v>
      </c>
      <c r="D12" s="1">
        <v>0</v>
      </c>
      <c r="E12" s="1">
        <v>45</v>
      </c>
      <c r="F12" s="1">
        <v>0</v>
      </c>
      <c r="G12" s="1">
        <v>0</v>
      </c>
      <c r="H12" s="1">
        <v>0</v>
      </c>
      <c r="I12" s="1">
        <v>0</v>
      </c>
      <c r="J12" s="1">
        <v>0</v>
      </c>
      <c r="K12" s="1">
        <v>0</v>
      </c>
      <c r="L12" s="1">
        <v>41</v>
      </c>
      <c r="M12" s="1">
        <v>0</v>
      </c>
      <c r="N12" s="1">
        <v>0</v>
      </c>
      <c r="O12" s="1">
        <v>62</v>
      </c>
      <c r="P12" s="1">
        <v>32</v>
      </c>
      <c r="Q12" s="1">
        <v>36</v>
      </c>
      <c r="R12" s="1"/>
      <c r="S12" s="1"/>
      <c r="T12" s="1"/>
      <c r="U12" s="1"/>
      <c r="V12" s="1"/>
      <c r="W12" s="1"/>
      <c r="X12">
        <f t="shared" si="5"/>
        <v>216</v>
      </c>
      <c r="Y12">
        <f>COUNT(D12:W12)</f>
        <v>14</v>
      </c>
      <c r="Z12">
        <f t="shared" si="6"/>
        <v>9</v>
      </c>
      <c r="AA12">
        <f t="shared" si="3"/>
        <v>5</v>
      </c>
      <c r="AB12">
        <f t="shared" si="4"/>
        <v>43.2</v>
      </c>
    </row>
    <row r="13" spans="2:28">
      <c r="X13" t="s">
        <v>52</v>
      </c>
      <c r="Y13">
        <f>AVERAGE(Y3:Y12)</f>
        <v>11.9</v>
      </c>
      <c r="Z13">
        <f t="shared" ref="Z13:AB13" si="7">AVERAGE(Z3:Z12)</f>
        <v>6.4</v>
      </c>
      <c r="AA13">
        <f t="shared" si="7"/>
        <v>5.5</v>
      </c>
      <c r="AB13">
        <f t="shared" si="7"/>
        <v>40.419999999999995</v>
      </c>
    </row>
  </sheetData>
  <phoneticPr fontId="3" type="noConversion"/>
  <conditionalFormatting sqref="D3:W12">
    <cfRule type="colorScale" priority="1">
      <colorScale>
        <cfvo type="min"/>
        <cfvo type="max"/>
        <color rgb="FFFF7128"/>
        <color theme="9"/>
      </colorScale>
    </cfRule>
    <cfRule type="cellIs" dxfId="5" priority="3" operator="equal">
      <formula>0</formula>
    </cfRule>
  </conditionalFormatting>
  <conditionalFormatting sqref="E7">
    <cfRule type="colorScale" priority="2">
      <colorScale>
        <cfvo type="min"/>
        <cfvo type="max"/>
        <color rgb="FFFF7128"/>
        <color theme="9"/>
      </colorScale>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B32A4-1EBE-4956-906B-8B98B23CB2FE}">
  <dimension ref="B2:AB13"/>
  <sheetViews>
    <sheetView topLeftCell="O1" workbookViewId="0">
      <selection activeCell="Y13" sqref="Y13"/>
    </sheetView>
  </sheetViews>
  <sheetFormatPr defaultRowHeight="15"/>
  <cols>
    <col min="2" max="2" width="25.28515625" bestFit="1" customWidth="1"/>
  </cols>
  <sheetData>
    <row r="2" spans="2:28">
      <c r="B2" t="s">
        <v>67</v>
      </c>
      <c r="D2" t="s">
        <v>19</v>
      </c>
      <c r="E2" t="s">
        <v>20</v>
      </c>
      <c r="F2" t="s">
        <v>21</v>
      </c>
      <c r="G2" t="s">
        <v>22</v>
      </c>
      <c r="H2" t="s">
        <v>23</v>
      </c>
      <c r="I2" t="s">
        <v>24</v>
      </c>
      <c r="J2" t="s">
        <v>25</v>
      </c>
      <c r="K2" t="s">
        <v>26</v>
      </c>
      <c r="L2" t="s">
        <v>27</v>
      </c>
      <c r="M2" t="s">
        <v>28</v>
      </c>
      <c r="N2" t="s">
        <v>29</v>
      </c>
      <c r="O2" t="s">
        <v>30</v>
      </c>
      <c r="P2" t="s">
        <v>40</v>
      </c>
      <c r="Q2" t="s">
        <v>41</v>
      </c>
      <c r="R2" t="s">
        <v>42</v>
      </c>
      <c r="S2" t="s">
        <v>72</v>
      </c>
      <c r="T2" t="s">
        <v>73</v>
      </c>
      <c r="U2" t="s">
        <v>74</v>
      </c>
      <c r="V2" t="s">
        <v>75</v>
      </c>
      <c r="W2" t="s">
        <v>76</v>
      </c>
      <c r="X2" t="s">
        <v>50</v>
      </c>
      <c r="Y2" t="s">
        <v>49</v>
      </c>
      <c r="Z2" t="s">
        <v>48</v>
      </c>
      <c r="AA2" t="s">
        <v>51</v>
      </c>
      <c r="AB2" t="s">
        <v>77</v>
      </c>
    </row>
    <row r="3" spans="2:28">
      <c r="C3" t="s">
        <v>18</v>
      </c>
      <c r="D3" s="1">
        <v>0</v>
      </c>
      <c r="E3" s="1">
        <v>68</v>
      </c>
      <c r="F3" s="1">
        <v>0</v>
      </c>
      <c r="G3" s="1">
        <v>50</v>
      </c>
      <c r="H3" s="1">
        <v>39</v>
      </c>
      <c r="I3" s="1">
        <v>40</v>
      </c>
      <c r="J3" s="1">
        <v>41</v>
      </c>
      <c r="K3" s="1"/>
      <c r="L3" s="1"/>
      <c r="M3" s="1"/>
      <c r="N3" s="1"/>
      <c r="O3" s="1"/>
      <c r="P3" s="1"/>
      <c r="Q3" s="1"/>
      <c r="R3" s="1"/>
      <c r="S3" s="1"/>
      <c r="T3" s="1"/>
      <c r="U3" s="1"/>
      <c r="V3" s="1"/>
      <c r="W3" s="1"/>
      <c r="X3">
        <f>SUM(D3:W3)</f>
        <v>238</v>
      </c>
      <c r="Y3">
        <f>COUNT(D3:W3)</f>
        <v>7</v>
      </c>
      <c r="Z3">
        <f>COUNTIF(D3:W3,0)</f>
        <v>2</v>
      </c>
      <c r="AA3">
        <f>Y3-Z3</f>
        <v>5</v>
      </c>
      <c r="AB3">
        <f>X3/AA3</f>
        <v>47.6</v>
      </c>
    </row>
    <row r="4" spans="2:28">
      <c r="C4" t="s">
        <v>31</v>
      </c>
      <c r="D4" s="1">
        <v>42</v>
      </c>
      <c r="E4" s="1">
        <v>0</v>
      </c>
      <c r="F4" s="1">
        <v>0</v>
      </c>
      <c r="G4" s="1">
        <v>42</v>
      </c>
      <c r="H4" s="1">
        <v>0</v>
      </c>
      <c r="I4" s="1">
        <v>0</v>
      </c>
      <c r="J4" s="1">
        <v>0</v>
      </c>
      <c r="K4" s="1">
        <v>55</v>
      </c>
      <c r="L4" s="1">
        <v>45</v>
      </c>
      <c r="M4" s="1">
        <v>0</v>
      </c>
      <c r="N4" s="1">
        <v>0</v>
      </c>
      <c r="O4" s="1">
        <v>0</v>
      </c>
      <c r="P4" s="1">
        <v>0</v>
      </c>
      <c r="Q4" s="1">
        <v>0</v>
      </c>
      <c r="R4" s="1">
        <v>0</v>
      </c>
      <c r="S4" s="1">
        <v>0</v>
      </c>
      <c r="T4" s="1">
        <v>0</v>
      </c>
      <c r="U4" s="1">
        <v>0</v>
      </c>
      <c r="V4" s="1">
        <v>34</v>
      </c>
      <c r="W4" s="1"/>
      <c r="X4">
        <f>SUM(D4:W4)</f>
        <v>218</v>
      </c>
      <c r="Y4">
        <f>COUNT(D4:W4)</f>
        <v>19</v>
      </c>
      <c r="Z4">
        <f>COUNTIF(D4:W4,0)</f>
        <v>14</v>
      </c>
      <c r="AA4">
        <f t="shared" ref="AA4:AA12" si="0">Y4-Z4</f>
        <v>5</v>
      </c>
      <c r="AB4">
        <f t="shared" ref="AB4:AB12" si="1">X4/AA4</f>
        <v>43.6</v>
      </c>
    </row>
    <row r="5" spans="2:28">
      <c r="C5" t="s">
        <v>32</v>
      </c>
      <c r="D5" s="1">
        <v>41</v>
      </c>
      <c r="E5" s="1">
        <v>0</v>
      </c>
      <c r="F5" s="1">
        <v>45</v>
      </c>
      <c r="G5" s="1">
        <v>0</v>
      </c>
      <c r="H5" s="1">
        <v>0</v>
      </c>
      <c r="I5" s="1">
        <v>36</v>
      </c>
      <c r="J5" s="1">
        <v>35</v>
      </c>
      <c r="K5" s="1">
        <v>44</v>
      </c>
      <c r="L5" s="1"/>
      <c r="M5" s="1"/>
      <c r="N5" s="1"/>
      <c r="O5" s="1"/>
      <c r="P5" s="1"/>
      <c r="Q5" s="1"/>
      <c r="R5" s="1"/>
      <c r="S5" s="1"/>
      <c r="T5" s="1"/>
      <c r="U5" s="1"/>
      <c r="V5" s="1"/>
      <c r="W5" s="1"/>
      <c r="X5">
        <f t="shared" ref="X5:X12" si="2">SUM(D5:W5)</f>
        <v>201</v>
      </c>
      <c r="Y5">
        <f t="shared" ref="Y5:Y12" si="3">COUNT(D5:W5)</f>
        <v>8</v>
      </c>
      <c r="Z5">
        <f t="shared" ref="Z5:Z12" si="4">COUNTIF(D5:W5,0)</f>
        <v>3</v>
      </c>
      <c r="AA5">
        <f t="shared" si="0"/>
        <v>5</v>
      </c>
      <c r="AB5">
        <f t="shared" si="1"/>
        <v>40.200000000000003</v>
      </c>
    </row>
    <row r="6" spans="2:28">
      <c r="C6" t="s">
        <v>33</v>
      </c>
      <c r="D6" s="1">
        <v>43</v>
      </c>
      <c r="E6" s="1">
        <v>38</v>
      </c>
      <c r="F6" s="1">
        <v>0</v>
      </c>
      <c r="G6" s="1">
        <v>50</v>
      </c>
      <c r="H6" s="1">
        <v>37</v>
      </c>
      <c r="I6" s="1">
        <v>46</v>
      </c>
      <c r="J6" s="1"/>
      <c r="K6" s="1"/>
      <c r="L6" s="1"/>
      <c r="M6" s="1"/>
      <c r="N6" s="1"/>
      <c r="O6" s="1"/>
      <c r="P6" s="1"/>
      <c r="Q6" s="1"/>
      <c r="R6" s="1"/>
      <c r="S6" s="1"/>
      <c r="T6" s="1"/>
      <c r="U6" s="1"/>
      <c r="V6" s="1"/>
      <c r="W6" s="1"/>
      <c r="X6">
        <f t="shared" si="2"/>
        <v>214</v>
      </c>
      <c r="Y6">
        <f t="shared" si="3"/>
        <v>6</v>
      </c>
      <c r="Z6">
        <f t="shared" si="4"/>
        <v>1</v>
      </c>
      <c r="AA6">
        <f t="shared" si="0"/>
        <v>5</v>
      </c>
      <c r="AB6">
        <f t="shared" si="1"/>
        <v>42.8</v>
      </c>
    </row>
    <row r="7" spans="2:28">
      <c r="C7" t="s">
        <v>34</v>
      </c>
      <c r="D7" s="1">
        <v>0</v>
      </c>
      <c r="E7" s="1">
        <v>42</v>
      </c>
      <c r="F7" s="1">
        <v>0</v>
      </c>
      <c r="G7" s="1">
        <v>45</v>
      </c>
      <c r="H7" s="1">
        <v>43</v>
      </c>
      <c r="I7" s="1">
        <v>0</v>
      </c>
      <c r="J7" s="1">
        <v>48</v>
      </c>
      <c r="K7" s="1">
        <v>45</v>
      </c>
      <c r="L7" s="1"/>
      <c r="M7" s="1"/>
      <c r="N7" s="1"/>
      <c r="O7" s="1"/>
      <c r="P7" s="1"/>
      <c r="Q7" s="1"/>
      <c r="R7" s="1"/>
      <c r="S7" s="1"/>
      <c r="T7" s="1"/>
      <c r="U7" s="1"/>
      <c r="V7" s="1"/>
      <c r="W7" s="1"/>
      <c r="X7">
        <f t="shared" si="2"/>
        <v>223</v>
      </c>
      <c r="Y7">
        <f t="shared" si="3"/>
        <v>8</v>
      </c>
      <c r="Z7">
        <f t="shared" si="4"/>
        <v>3</v>
      </c>
      <c r="AA7">
        <f t="shared" si="0"/>
        <v>5</v>
      </c>
      <c r="AB7">
        <f t="shared" si="1"/>
        <v>44.6</v>
      </c>
    </row>
    <row r="8" spans="2:28">
      <c r="C8" t="s">
        <v>35</v>
      </c>
      <c r="D8" s="1">
        <v>0</v>
      </c>
      <c r="E8" s="1">
        <v>0</v>
      </c>
      <c r="F8" s="1">
        <v>0</v>
      </c>
      <c r="G8" s="1">
        <v>82</v>
      </c>
      <c r="H8" s="1">
        <v>0</v>
      </c>
      <c r="I8" s="1">
        <v>46</v>
      </c>
      <c r="J8" s="1">
        <v>0</v>
      </c>
      <c r="K8" s="1">
        <v>42</v>
      </c>
      <c r="L8" s="1">
        <v>0</v>
      </c>
      <c r="M8" s="1">
        <v>39</v>
      </c>
      <c r="N8" s="1"/>
      <c r="O8" s="1"/>
      <c r="P8" s="1"/>
      <c r="Q8" s="1"/>
      <c r="R8" s="1"/>
      <c r="S8" s="1"/>
      <c r="T8" s="1"/>
      <c r="U8" s="1"/>
      <c r="V8" s="1"/>
      <c r="W8" s="1"/>
      <c r="X8">
        <f t="shared" si="2"/>
        <v>209</v>
      </c>
      <c r="Y8">
        <f t="shared" si="3"/>
        <v>10</v>
      </c>
      <c r="Z8">
        <f t="shared" si="4"/>
        <v>6</v>
      </c>
      <c r="AA8">
        <f t="shared" si="0"/>
        <v>4</v>
      </c>
      <c r="AB8">
        <f t="shared" si="1"/>
        <v>52.25</v>
      </c>
    </row>
    <row r="9" spans="2:28">
      <c r="C9" t="s">
        <v>36</v>
      </c>
      <c r="D9" s="1">
        <v>0</v>
      </c>
      <c r="E9" s="1">
        <v>0</v>
      </c>
      <c r="F9" s="1">
        <v>0</v>
      </c>
      <c r="G9" s="1">
        <v>0</v>
      </c>
      <c r="H9" s="1">
        <v>39</v>
      </c>
      <c r="I9" s="1">
        <v>37</v>
      </c>
      <c r="J9" s="1">
        <v>44</v>
      </c>
      <c r="K9" s="1">
        <v>42</v>
      </c>
      <c r="L9" s="1">
        <v>51</v>
      </c>
      <c r="M9" s="1"/>
      <c r="N9" s="1"/>
      <c r="O9" s="1"/>
      <c r="P9" s="1"/>
      <c r="Q9" s="1"/>
      <c r="R9" s="1"/>
      <c r="S9" s="1"/>
      <c r="T9" s="1"/>
      <c r="U9" s="1"/>
      <c r="V9" s="1"/>
      <c r="W9" s="1"/>
      <c r="X9">
        <f t="shared" si="2"/>
        <v>213</v>
      </c>
      <c r="Y9">
        <f t="shared" si="3"/>
        <v>9</v>
      </c>
      <c r="Z9">
        <f t="shared" si="4"/>
        <v>4</v>
      </c>
      <c r="AA9">
        <f t="shared" si="0"/>
        <v>5</v>
      </c>
      <c r="AB9">
        <f t="shared" si="1"/>
        <v>42.6</v>
      </c>
    </row>
    <row r="10" spans="2:28">
      <c r="C10" t="s">
        <v>37</v>
      </c>
      <c r="D10" s="1">
        <v>39</v>
      </c>
      <c r="E10" s="1">
        <v>0</v>
      </c>
      <c r="F10" s="1">
        <v>0</v>
      </c>
      <c r="G10" s="1">
        <v>37</v>
      </c>
      <c r="H10" s="1">
        <v>0</v>
      </c>
      <c r="I10" s="1">
        <v>0</v>
      </c>
      <c r="J10" s="1">
        <v>0</v>
      </c>
      <c r="K10" s="1">
        <v>0</v>
      </c>
      <c r="L10" s="1">
        <v>33</v>
      </c>
      <c r="M10" s="1">
        <v>0</v>
      </c>
      <c r="N10" s="1">
        <v>0</v>
      </c>
      <c r="O10" s="1">
        <v>0</v>
      </c>
      <c r="P10" s="1">
        <v>0</v>
      </c>
      <c r="Q10" s="1">
        <v>40</v>
      </c>
      <c r="R10" s="1">
        <v>0</v>
      </c>
      <c r="S10" s="1">
        <v>51</v>
      </c>
      <c r="T10" s="1"/>
      <c r="U10" s="1"/>
      <c r="V10" s="1"/>
      <c r="W10" s="1"/>
      <c r="X10">
        <f t="shared" si="2"/>
        <v>200</v>
      </c>
      <c r="Y10">
        <f t="shared" si="3"/>
        <v>16</v>
      </c>
      <c r="Z10">
        <f t="shared" si="4"/>
        <v>11</v>
      </c>
      <c r="AA10">
        <f t="shared" si="0"/>
        <v>5</v>
      </c>
      <c r="AB10">
        <f t="shared" si="1"/>
        <v>40</v>
      </c>
    </row>
    <row r="11" spans="2:28">
      <c r="C11" t="s">
        <v>38</v>
      </c>
      <c r="D11" s="1">
        <v>0</v>
      </c>
      <c r="E11" s="1">
        <v>40</v>
      </c>
      <c r="F11" s="1">
        <v>38</v>
      </c>
      <c r="G11" s="1">
        <v>0</v>
      </c>
      <c r="H11" s="1">
        <v>0</v>
      </c>
      <c r="I11" s="1">
        <v>0</v>
      </c>
      <c r="J11" s="1">
        <v>0</v>
      </c>
      <c r="K11" s="1">
        <v>0</v>
      </c>
      <c r="L11" s="1">
        <v>45</v>
      </c>
      <c r="M11" s="1">
        <v>46</v>
      </c>
      <c r="N11" s="1">
        <v>0</v>
      </c>
      <c r="O11" s="1">
        <v>39</v>
      </c>
      <c r="P11" s="1"/>
      <c r="Q11" s="1"/>
      <c r="R11" s="1"/>
      <c r="S11" s="1"/>
      <c r="T11" s="1"/>
      <c r="U11" s="1"/>
      <c r="V11" s="1"/>
      <c r="W11" s="1"/>
      <c r="X11">
        <f t="shared" si="2"/>
        <v>208</v>
      </c>
      <c r="Y11">
        <f t="shared" si="3"/>
        <v>12</v>
      </c>
      <c r="Z11">
        <f t="shared" si="4"/>
        <v>7</v>
      </c>
      <c r="AA11">
        <f t="shared" si="0"/>
        <v>5</v>
      </c>
      <c r="AB11">
        <f t="shared" si="1"/>
        <v>41.6</v>
      </c>
    </row>
    <row r="12" spans="2:28">
      <c r="C12" t="s">
        <v>39</v>
      </c>
      <c r="D12" s="1">
        <v>45</v>
      </c>
      <c r="E12" s="1">
        <v>46</v>
      </c>
      <c r="F12" s="1">
        <v>45</v>
      </c>
      <c r="G12" s="1">
        <v>0</v>
      </c>
      <c r="H12" s="1">
        <v>51</v>
      </c>
      <c r="I12" s="1">
        <v>0</v>
      </c>
      <c r="J12" s="1">
        <v>0</v>
      </c>
      <c r="K12" s="1">
        <v>0</v>
      </c>
      <c r="L12" s="1">
        <v>54</v>
      </c>
      <c r="M12" s="1"/>
      <c r="N12" s="1"/>
      <c r="O12" s="1"/>
      <c r="P12" s="1"/>
      <c r="Q12" s="1"/>
      <c r="R12" s="1"/>
      <c r="S12" s="1"/>
      <c r="T12" s="1"/>
      <c r="U12" s="1"/>
      <c r="V12" s="1"/>
      <c r="W12" s="1"/>
      <c r="X12">
        <f t="shared" si="2"/>
        <v>241</v>
      </c>
      <c r="Y12">
        <f t="shared" si="3"/>
        <v>9</v>
      </c>
      <c r="Z12">
        <f t="shared" si="4"/>
        <v>4</v>
      </c>
      <c r="AA12">
        <f t="shared" si="0"/>
        <v>5</v>
      </c>
      <c r="AB12">
        <f t="shared" si="1"/>
        <v>48.2</v>
      </c>
    </row>
    <row r="13" spans="2:28">
      <c r="X13" t="s">
        <v>52</v>
      </c>
      <c r="Y13">
        <f>AVERAGE(Y3:Y12)</f>
        <v>10.4</v>
      </c>
      <c r="Z13">
        <f t="shared" ref="Z13:AB13" si="5">AVERAGE(Z3:Z12)</f>
        <v>5.5</v>
      </c>
      <c r="AA13">
        <f t="shared" si="5"/>
        <v>4.9000000000000004</v>
      </c>
      <c r="AB13">
        <f t="shared" si="5"/>
        <v>44.344999999999999</v>
      </c>
    </row>
  </sheetData>
  <phoneticPr fontId="3" type="noConversion"/>
  <conditionalFormatting sqref="D3:W12">
    <cfRule type="colorScale" priority="1">
      <colorScale>
        <cfvo type="min"/>
        <cfvo type="max"/>
        <color rgb="FFFF7128"/>
        <color theme="9"/>
      </colorScale>
    </cfRule>
    <cfRule type="cellIs" dxfId="4" priority="3" operator="equal">
      <formula>0</formula>
    </cfRule>
  </conditionalFormatting>
  <conditionalFormatting sqref="E7">
    <cfRule type="colorScale" priority="2">
      <colorScale>
        <cfvo type="min"/>
        <cfvo type="max"/>
        <color rgb="FFFF7128"/>
        <color theme="9"/>
      </colorScale>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AA215-9F55-45C0-A8B6-A93C759D611A}">
  <dimension ref="B2:AB13"/>
  <sheetViews>
    <sheetView topLeftCell="C1" workbookViewId="0">
      <selection activeCell="L10" sqref="L10"/>
    </sheetView>
  </sheetViews>
  <sheetFormatPr defaultRowHeight="15"/>
  <cols>
    <col min="2" max="2" width="29.140625" bestFit="1" customWidth="1"/>
  </cols>
  <sheetData>
    <row r="2" spans="2:28">
      <c r="B2" t="s">
        <v>68</v>
      </c>
      <c r="D2" t="s">
        <v>19</v>
      </c>
      <c r="E2" t="s">
        <v>20</v>
      </c>
      <c r="F2" t="s">
        <v>21</v>
      </c>
      <c r="G2" t="s">
        <v>22</v>
      </c>
      <c r="H2" t="s">
        <v>23</v>
      </c>
      <c r="I2" t="s">
        <v>24</v>
      </c>
      <c r="J2" t="s">
        <v>25</v>
      </c>
      <c r="K2" t="s">
        <v>26</v>
      </c>
      <c r="L2" t="s">
        <v>27</v>
      </c>
      <c r="M2" t="s">
        <v>28</v>
      </c>
      <c r="N2" t="s">
        <v>29</v>
      </c>
      <c r="O2" t="s">
        <v>30</v>
      </c>
      <c r="P2" t="s">
        <v>40</v>
      </c>
      <c r="Q2" t="s">
        <v>41</v>
      </c>
      <c r="R2" t="s">
        <v>42</v>
      </c>
      <c r="S2" t="s">
        <v>72</v>
      </c>
      <c r="T2" t="s">
        <v>73</v>
      </c>
      <c r="U2" t="s">
        <v>74</v>
      </c>
      <c r="V2" t="s">
        <v>75</v>
      </c>
      <c r="W2" t="s">
        <v>76</v>
      </c>
      <c r="X2" t="s">
        <v>50</v>
      </c>
      <c r="Y2" t="s">
        <v>49</v>
      </c>
      <c r="Z2" t="s">
        <v>48</v>
      </c>
      <c r="AA2" t="s">
        <v>51</v>
      </c>
      <c r="AB2" t="s">
        <v>77</v>
      </c>
    </row>
    <row r="3" spans="2:28">
      <c r="C3" t="s">
        <v>18</v>
      </c>
      <c r="D3" s="1">
        <v>13</v>
      </c>
      <c r="E3" s="1">
        <v>13</v>
      </c>
      <c r="F3" s="1">
        <v>11</v>
      </c>
      <c r="G3" s="1">
        <v>11</v>
      </c>
      <c r="H3" s="1">
        <v>10</v>
      </c>
      <c r="I3" s="1">
        <v>12</v>
      </c>
      <c r="J3" s="1">
        <v>13</v>
      </c>
      <c r="K3" s="1">
        <v>20</v>
      </c>
      <c r="L3" s="1">
        <v>16</v>
      </c>
      <c r="M3" s="1">
        <v>20</v>
      </c>
      <c r="N3" s="1">
        <v>23</v>
      </c>
      <c r="O3" s="1">
        <v>15</v>
      </c>
      <c r="P3" s="1">
        <v>58</v>
      </c>
      <c r="Q3" s="1"/>
      <c r="R3" s="1"/>
      <c r="S3" s="1"/>
      <c r="T3" s="1"/>
      <c r="U3" s="1"/>
      <c r="V3" s="1"/>
      <c r="W3" s="1"/>
      <c r="X3">
        <f>SUM(D3:W3)</f>
        <v>235</v>
      </c>
      <c r="Y3">
        <f>COUNT(D3:W3)</f>
        <v>13</v>
      </c>
      <c r="Z3">
        <f>COUNTIF(D3:W3,0)</f>
        <v>0</v>
      </c>
      <c r="AA3">
        <f>Y3-Z3</f>
        <v>13</v>
      </c>
      <c r="AB3">
        <f>X3/AA3</f>
        <v>18.076923076923077</v>
      </c>
    </row>
    <row r="4" spans="2:28">
      <c r="C4" t="s">
        <v>31</v>
      </c>
      <c r="D4" s="1">
        <v>13</v>
      </c>
      <c r="E4" s="1">
        <v>0</v>
      </c>
      <c r="F4" s="1">
        <v>11</v>
      </c>
      <c r="G4" s="1">
        <v>0</v>
      </c>
      <c r="H4" s="1">
        <v>22</v>
      </c>
      <c r="I4" s="1">
        <v>11</v>
      </c>
      <c r="J4" s="1">
        <v>12</v>
      </c>
      <c r="K4" s="1">
        <v>14</v>
      </c>
      <c r="L4" s="1">
        <v>14</v>
      </c>
      <c r="M4" s="1">
        <v>12</v>
      </c>
      <c r="N4" s="1">
        <v>13</v>
      </c>
      <c r="O4" s="1">
        <v>10</v>
      </c>
      <c r="P4" s="1">
        <v>22</v>
      </c>
      <c r="Q4" s="1">
        <v>10</v>
      </c>
      <c r="R4" s="1">
        <v>12</v>
      </c>
      <c r="S4" s="1">
        <v>12</v>
      </c>
      <c r="T4" s="1">
        <v>15</v>
      </c>
      <c r="U4" s="1"/>
      <c r="V4" s="1"/>
      <c r="W4" s="1"/>
      <c r="X4">
        <f t="shared" ref="X4:X12" si="0">SUM(D4:W4)</f>
        <v>203</v>
      </c>
      <c r="Y4">
        <f t="shared" ref="Y4:Y12" si="1">COUNT(D4:W4)</f>
        <v>17</v>
      </c>
      <c r="Z4">
        <f t="shared" ref="Z4:Z12" si="2">COUNTIF(D4:W4,0)</f>
        <v>2</v>
      </c>
      <c r="AA4">
        <f t="shared" ref="AA4:AA12" si="3">Y4-Z4</f>
        <v>15</v>
      </c>
      <c r="AB4">
        <f t="shared" ref="AB4:AB12" si="4">X4/AA4</f>
        <v>13.533333333333333</v>
      </c>
    </row>
    <row r="5" spans="2:28">
      <c r="C5" t="s">
        <v>32</v>
      </c>
      <c r="D5" s="1">
        <v>30</v>
      </c>
      <c r="E5" s="1">
        <v>22</v>
      </c>
      <c r="F5" s="1">
        <v>11</v>
      </c>
      <c r="G5" s="1">
        <v>11</v>
      </c>
      <c r="H5" s="1">
        <v>15</v>
      </c>
      <c r="I5" s="1">
        <v>17</v>
      </c>
      <c r="J5" s="1">
        <v>16</v>
      </c>
      <c r="K5" s="1">
        <v>17</v>
      </c>
      <c r="L5" s="1">
        <v>18</v>
      </c>
      <c r="M5" s="1">
        <v>17</v>
      </c>
      <c r="N5" s="1">
        <v>11</v>
      </c>
      <c r="O5" s="1">
        <v>20</v>
      </c>
      <c r="P5" s="1"/>
      <c r="Q5" s="1"/>
      <c r="R5" s="1"/>
      <c r="S5" s="1"/>
      <c r="T5" s="1"/>
      <c r="U5" s="1"/>
      <c r="V5" s="1"/>
      <c r="W5" s="1"/>
      <c r="X5">
        <f t="shared" si="0"/>
        <v>205</v>
      </c>
      <c r="Y5">
        <f t="shared" si="1"/>
        <v>12</v>
      </c>
      <c r="Z5">
        <f t="shared" si="2"/>
        <v>0</v>
      </c>
      <c r="AA5">
        <f t="shared" si="3"/>
        <v>12</v>
      </c>
      <c r="AB5">
        <f t="shared" si="4"/>
        <v>17.083333333333332</v>
      </c>
    </row>
    <row r="6" spans="2:28">
      <c r="C6" t="s">
        <v>33</v>
      </c>
      <c r="D6" s="1">
        <v>11</v>
      </c>
      <c r="E6" s="1">
        <v>10</v>
      </c>
      <c r="F6" s="1">
        <v>16</v>
      </c>
      <c r="G6" s="1">
        <v>0</v>
      </c>
      <c r="H6" s="1">
        <v>23</v>
      </c>
      <c r="I6" s="1">
        <v>12</v>
      </c>
      <c r="J6" s="1">
        <v>13</v>
      </c>
      <c r="K6" s="1">
        <v>14</v>
      </c>
      <c r="L6" s="1">
        <v>15</v>
      </c>
      <c r="M6" s="1">
        <v>17</v>
      </c>
      <c r="N6" s="1">
        <v>12</v>
      </c>
      <c r="O6" s="1">
        <v>16</v>
      </c>
      <c r="P6" s="1">
        <v>11</v>
      </c>
      <c r="Q6" s="1">
        <v>12</v>
      </c>
      <c r="R6" s="1">
        <v>13</v>
      </c>
      <c r="S6" s="1">
        <v>13</v>
      </c>
      <c r="T6" s="1"/>
      <c r="U6" s="1"/>
      <c r="V6" s="1"/>
      <c r="W6" s="1"/>
      <c r="X6">
        <f t="shared" si="0"/>
        <v>208</v>
      </c>
      <c r="Y6">
        <f t="shared" si="1"/>
        <v>16</v>
      </c>
      <c r="Z6">
        <f t="shared" si="2"/>
        <v>1</v>
      </c>
      <c r="AA6">
        <f t="shared" si="3"/>
        <v>15</v>
      </c>
      <c r="AB6">
        <f t="shared" si="4"/>
        <v>13.866666666666667</v>
      </c>
    </row>
    <row r="7" spans="2:28">
      <c r="C7" t="s">
        <v>34</v>
      </c>
      <c r="D7" s="1">
        <v>12</v>
      </c>
      <c r="E7" s="1">
        <v>10</v>
      </c>
      <c r="F7" s="1">
        <v>12</v>
      </c>
      <c r="G7" s="1">
        <v>19</v>
      </c>
      <c r="H7" s="1">
        <v>19</v>
      </c>
      <c r="I7" s="1">
        <v>11</v>
      </c>
      <c r="J7" s="1">
        <v>12</v>
      </c>
      <c r="K7" s="1">
        <v>12</v>
      </c>
      <c r="L7" s="1">
        <v>0</v>
      </c>
      <c r="M7" s="1">
        <v>13</v>
      </c>
      <c r="N7" s="1">
        <v>19</v>
      </c>
      <c r="O7" s="1">
        <v>16</v>
      </c>
      <c r="P7" s="1">
        <v>17</v>
      </c>
      <c r="Q7" s="1">
        <v>11</v>
      </c>
      <c r="R7" s="1">
        <v>11</v>
      </c>
      <c r="S7" s="1">
        <v>12</v>
      </c>
      <c r="T7" s="1"/>
      <c r="U7" s="1"/>
      <c r="V7" s="1"/>
      <c r="W7" s="1"/>
      <c r="X7">
        <f t="shared" si="0"/>
        <v>206</v>
      </c>
      <c r="Y7">
        <f t="shared" si="1"/>
        <v>16</v>
      </c>
      <c r="Z7">
        <f t="shared" si="2"/>
        <v>1</v>
      </c>
      <c r="AA7">
        <f t="shared" si="3"/>
        <v>15</v>
      </c>
      <c r="AB7">
        <f t="shared" si="4"/>
        <v>13.733333333333333</v>
      </c>
    </row>
    <row r="8" spans="2:28">
      <c r="C8" t="s">
        <v>35</v>
      </c>
      <c r="D8" s="1">
        <v>13</v>
      </c>
      <c r="E8" s="1">
        <v>12</v>
      </c>
      <c r="F8" s="1">
        <v>51</v>
      </c>
      <c r="G8" s="1">
        <v>16</v>
      </c>
      <c r="H8" s="1">
        <v>12</v>
      </c>
      <c r="I8" s="1">
        <v>13</v>
      </c>
      <c r="J8" s="1">
        <v>12</v>
      </c>
      <c r="K8" s="1">
        <v>11</v>
      </c>
      <c r="L8" s="1">
        <v>13</v>
      </c>
      <c r="M8" s="1">
        <v>14</v>
      </c>
      <c r="N8" s="1">
        <v>12</v>
      </c>
      <c r="O8" s="1">
        <v>13</v>
      </c>
      <c r="P8" s="1">
        <v>13</v>
      </c>
      <c r="Q8" s="1"/>
      <c r="R8" s="1"/>
      <c r="S8" s="1"/>
      <c r="T8" s="1"/>
      <c r="U8" s="1"/>
      <c r="V8" s="1"/>
      <c r="W8" s="1"/>
      <c r="X8">
        <f t="shared" si="0"/>
        <v>205</v>
      </c>
      <c r="Y8">
        <f t="shared" si="1"/>
        <v>13</v>
      </c>
      <c r="Z8">
        <f t="shared" si="2"/>
        <v>0</v>
      </c>
      <c r="AA8">
        <f t="shared" si="3"/>
        <v>13</v>
      </c>
      <c r="AB8">
        <f t="shared" si="4"/>
        <v>15.76923076923077</v>
      </c>
    </row>
    <row r="9" spans="2:28">
      <c r="C9" t="s">
        <v>36</v>
      </c>
      <c r="D9" s="1">
        <v>12</v>
      </c>
      <c r="E9" s="1">
        <v>14</v>
      </c>
      <c r="F9" s="1">
        <v>18</v>
      </c>
      <c r="G9" s="1">
        <v>10</v>
      </c>
      <c r="H9" s="1">
        <v>18</v>
      </c>
      <c r="I9" s="1">
        <v>14</v>
      </c>
      <c r="J9" s="1">
        <v>18</v>
      </c>
      <c r="K9" s="1">
        <v>12</v>
      </c>
      <c r="L9" s="1">
        <v>15</v>
      </c>
      <c r="M9" s="1">
        <v>9</v>
      </c>
      <c r="N9" s="1">
        <v>15</v>
      </c>
      <c r="O9" s="1">
        <v>12</v>
      </c>
      <c r="P9" s="1">
        <v>22</v>
      </c>
      <c r="Q9" s="1">
        <v>12</v>
      </c>
      <c r="R9" s="1"/>
      <c r="S9" s="1"/>
      <c r="T9" s="1"/>
      <c r="U9" s="1"/>
      <c r="V9" s="1"/>
      <c r="W9" s="1"/>
      <c r="X9">
        <f t="shared" si="0"/>
        <v>201</v>
      </c>
      <c r="Y9">
        <f t="shared" si="1"/>
        <v>14</v>
      </c>
      <c r="Z9">
        <f t="shared" si="2"/>
        <v>0</v>
      </c>
      <c r="AA9">
        <f t="shared" si="3"/>
        <v>14</v>
      </c>
      <c r="AB9">
        <f t="shared" si="4"/>
        <v>14.357142857142858</v>
      </c>
    </row>
    <row r="10" spans="2:28">
      <c r="C10" t="s">
        <v>37</v>
      </c>
      <c r="D10" s="1">
        <v>13</v>
      </c>
      <c r="E10" s="1">
        <v>24</v>
      </c>
      <c r="F10" s="1">
        <v>15</v>
      </c>
      <c r="G10" s="1">
        <v>10</v>
      </c>
      <c r="H10" s="1">
        <v>12</v>
      </c>
      <c r="I10" s="1">
        <v>15</v>
      </c>
      <c r="J10" s="1">
        <v>13</v>
      </c>
      <c r="K10" s="1">
        <v>0</v>
      </c>
      <c r="L10" s="1">
        <v>13</v>
      </c>
      <c r="M10" s="1">
        <v>15</v>
      </c>
      <c r="N10" s="1">
        <v>18</v>
      </c>
      <c r="O10" s="1">
        <v>18</v>
      </c>
      <c r="P10" s="1">
        <v>14</v>
      </c>
      <c r="Q10" s="1">
        <v>15</v>
      </c>
      <c r="R10" s="1">
        <v>14</v>
      </c>
      <c r="S10" s="1">
        <v>9</v>
      </c>
      <c r="T10" s="1"/>
      <c r="U10" s="1"/>
      <c r="V10" s="1"/>
      <c r="W10" s="1"/>
      <c r="X10">
        <f t="shared" si="0"/>
        <v>218</v>
      </c>
      <c r="Y10">
        <f t="shared" si="1"/>
        <v>16</v>
      </c>
      <c r="Z10">
        <f t="shared" si="2"/>
        <v>1</v>
      </c>
      <c r="AA10">
        <f t="shared" si="3"/>
        <v>15</v>
      </c>
      <c r="AB10">
        <f t="shared" si="4"/>
        <v>14.533333333333333</v>
      </c>
    </row>
    <row r="11" spans="2:28">
      <c r="C11" t="s">
        <v>38</v>
      </c>
      <c r="D11" s="1">
        <v>13</v>
      </c>
      <c r="E11" s="1">
        <v>22</v>
      </c>
      <c r="F11" s="1">
        <v>14</v>
      </c>
      <c r="G11" s="1">
        <v>10</v>
      </c>
      <c r="H11" s="1">
        <v>0</v>
      </c>
      <c r="I11" s="1">
        <v>17</v>
      </c>
      <c r="J11" s="1">
        <v>16</v>
      </c>
      <c r="K11" s="1">
        <v>13</v>
      </c>
      <c r="L11" s="1">
        <v>15</v>
      </c>
      <c r="M11" s="1">
        <v>12</v>
      </c>
      <c r="N11" s="1">
        <v>13</v>
      </c>
      <c r="O11" s="1">
        <v>12</v>
      </c>
      <c r="P11" s="1">
        <v>18</v>
      </c>
      <c r="Q11" s="1">
        <v>17</v>
      </c>
      <c r="R11" s="1">
        <v>15</v>
      </c>
      <c r="S11" s="1"/>
      <c r="T11" s="1"/>
      <c r="U11" s="1"/>
      <c r="V11" s="1"/>
      <c r="W11" s="1"/>
      <c r="X11">
        <f t="shared" si="0"/>
        <v>207</v>
      </c>
      <c r="Y11">
        <f t="shared" si="1"/>
        <v>15</v>
      </c>
      <c r="Z11">
        <f t="shared" si="2"/>
        <v>1</v>
      </c>
      <c r="AA11">
        <f t="shared" si="3"/>
        <v>14</v>
      </c>
      <c r="AB11">
        <f t="shared" si="4"/>
        <v>14.785714285714286</v>
      </c>
    </row>
    <row r="12" spans="2:28">
      <c r="C12" t="s">
        <v>39</v>
      </c>
      <c r="D12" s="1">
        <v>13</v>
      </c>
      <c r="E12" s="1">
        <v>10</v>
      </c>
      <c r="F12" s="1">
        <v>11</v>
      </c>
      <c r="G12" s="1">
        <v>12</v>
      </c>
      <c r="H12" s="1">
        <v>16</v>
      </c>
      <c r="I12" s="1">
        <v>11</v>
      </c>
      <c r="J12" s="1">
        <v>20</v>
      </c>
      <c r="K12" s="1">
        <v>19</v>
      </c>
      <c r="L12" s="1">
        <v>13</v>
      </c>
      <c r="M12" s="1">
        <v>23</v>
      </c>
      <c r="N12" s="1">
        <v>18</v>
      </c>
      <c r="O12" s="1">
        <v>21</v>
      </c>
      <c r="P12" s="1">
        <v>17</v>
      </c>
      <c r="Q12" s="1"/>
      <c r="R12" s="1"/>
      <c r="S12" s="1"/>
      <c r="T12" s="1"/>
      <c r="U12" s="1"/>
      <c r="V12" s="1"/>
      <c r="W12" s="1"/>
      <c r="X12">
        <f t="shared" si="0"/>
        <v>204</v>
      </c>
      <c r="Y12">
        <f t="shared" si="1"/>
        <v>13</v>
      </c>
      <c r="Z12">
        <f t="shared" si="2"/>
        <v>0</v>
      </c>
      <c r="AA12">
        <f t="shared" si="3"/>
        <v>13</v>
      </c>
      <c r="AB12">
        <f t="shared" si="4"/>
        <v>15.692307692307692</v>
      </c>
    </row>
    <row r="13" spans="2:28">
      <c r="X13" t="s">
        <v>52</v>
      </c>
      <c r="Y13">
        <f>AVERAGE(Y3:Y12)</f>
        <v>14.5</v>
      </c>
      <c r="Z13">
        <f t="shared" ref="Z13:AB13" si="5">AVERAGE(Z3:Z12)</f>
        <v>0.6</v>
      </c>
      <c r="AA13">
        <f t="shared" si="5"/>
        <v>13.9</v>
      </c>
      <c r="AB13">
        <f t="shared" si="5"/>
        <v>15.143131868131865</v>
      </c>
    </row>
  </sheetData>
  <phoneticPr fontId="3" type="noConversion"/>
  <conditionalFormatting sqref="D3:W12">
    <cfRule type="colorScale" priority="1">
      <colorScale>
        <cfvo type="min"/>
        <cfvo type="max"/>
        <color rgb="FFFF7128"/>
        <color theme="9"/>
      </colorScale>
    </cfRule>
    <cfRule type="cellIs" dxfId="3" priority="3" operator="equal">
      <formula>0</formula>
    </cfRule>
  </conditionalFormatting>
  <conditionalFormatting sqref="E7">
    <cfRule type="colorScale" priority="2">
      <colorScale>
        <cfvo type="min"/>
        <cfvo type="max"/>
        <color rgb="FFFF7128"/>
        <color theme="9"/>
      </colorScale>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930C0-67F9-4F7E-8083-05102B5F7167}">
  <dimension ref="B2:W13"/>
  <sheetViews>
    <sheetView topLeftCell="B1" workbookViewId="0">
      <selection activeCell="O12" sqref="O12"/>
    </sheetView>
  </sheetViews>
  <sheetFormatPr defaultRowHeight="15"/>
  <cols>
    <col min="2" max="2" width="29.140625" bestFit="1" customWidth="1"/>
  </cols>
  <sheetData>
    <row r="2" spans="2:23">
      <c r="B2" t="s">
        <v>69</v>
      </c>
      <c r="D2" t="s">
        <v>19</v>
      </c>
      <c r="E2" t="s">
        <v>20</v>
      </c>
      <c r="F2" t="s">
        <v>21</v>
      </c>
      <c r="G2" t="s">
        <v>22</v>
      </c>
      <c r="H2" t="s">
        <v>23</v>
      </c>
      <c r="I2" t="s">
        <v>24</v>
      </c>
      <c r="J2" t="s">
        <v>25</v>
      </c>
      <c r="K2" t="s">
        <v>26</v>
      </c>
      <c r="L2" t="s">
        <v>27</v>
      </c>
      <c r="M2" t="s">
        <v>28</v>
      </c>
      <c r="N2" t="s">
        <v>29</v>
      </c>
      <c r="O2" t="s">
        <v>30</v>
      </c>
      <c r="P2" t="s">
        <v>40</v>
      </c>
      <c r="Q2" t="s">
        <v>41</v>
      </c>
      <c r="R2" t="s">
        <v>42</v>
      </c>
      <c r="S2" t="s">
        <v>50</v>
      </c>
      <c r="T2" t="s">
        <v>49</v>
      </c>
      <c r="U2" t="s">
        <v>48</v>
      </c>
      <c r="V2" t="s">
        <v>51</v>
      </c>
      <c r="W2" t="s">
        <v>77</v>
      </c>
    </row>
    <row r="3" spans="2:23">
      <c r="C3" t="s">
        <v>18</v>
      </c>
      <c r="D3" s="1">
        <v>0</v>
      </c>
      <c r="E3" s="1">
        <v>23</v>
      </c>
      <c r="F3" s="1">
        <v>0</v>
      </c>
      <c r="G3" s="1">
        <v>28</v>
      </c>
      <c r="H3" s="1">
        <v>31</v>
      </c>
      <c r="I3" s="1">
        <v>26</v>
      </c>
      <c r="J3" s="1">
        <v>30</v>
      </c>
      <c r="K3" s="1">
        <v>0</v>
      </c>
      <c r="L3" s="1">
        <v>23</v>
      </c>
      <c r="M3" s="1">
        <v>0</v>
      </c>
      <c r="N3" s="1">
        <v>40</v>
      </c>
      <c r="O3" s="1"/>
      <c r="P3" s="1"/>
      <c r="Q3" s="1"/>
      <c r="R3" s="1"/>
      <c r="S3">
        <f>SUM(D3:R3)</f>
        <v>201</v>
      </c>
      <c r="T3">
        <f>COUNT(D3:R3)</f>
        <v>11</v>
      </c>
      <c r="U3">
        <f>COUNTIF(D3:R3,0)</f>
        <v>4</v>
      </c>
      <c r="V3">
        <f>T3-U3</f>
        <v>7</v>
      </c>
      <c r="W3">
        <f>S3/V3</f>
        <v>28.714285714285715</v>
      </c>
    </row>
    <row r="4" spans="2:23">
      <c r="C4" t="s">
        <v>31</v>
      </c>
      <c r="D4" s="1">
        <v>20</v>
      </c>
      <c r="E4" s="1">
        <v>30</v>
      </c>
      <c r="F4" s="1">
        <v>30</v>
      </c>
      <c r="G4" s="1">
        <v>0</v>
      </c>
      <c r="H4" s="1">
        <v>24</v>
      </c>
      <c r="I4" s="1">
        <v>21</v>
      </c>
      <c r="J4" s="1">
        <v>24</v>
      </c>
      <c r="K4" s="1">
        <v>0</v>
      </c>
      <c r="L4" s="1">
        <v>0</v>
      </c>
      <c r="M4" s="1">
        <v>33</v>
      </c>
      <c r="N4" s="1">
        <v>24</v>
      </c>
      <c r="O4" s="1"/>
      <c r="P4" s="1"/>
      <c r="Q4" s="1"/>
      <c r="R4" s="1"/>
      <c r="S4">
        <f t="shared" ref="S4:S12" si="0">SUM(D4:R4)</f>
        <v>206</v>
      </c>
      <c r="T4">
        <f t="shared" ref="T4:T12" si="1">COUNT(D4:R4)</f>
        <v>11</v>
      </c>
      <c r="U4">
        <f t="shared" ref="U4:U12" si="2">COUNTIF(D4:R4,0)</f>
        <v>3</v>
      </c>
      <c r="V4">
        <f t="shared" ref="V4:V12" si="3">T4-U4</f>
        <v>8</v>
      </c>
      <c r="W4">
        <f t="shared" ref="W4:W12" si="4">S4/V4</f>
        <v>25.75</v>
      </c>
    </row>
    <row r="5" spans="2:23">
      <c r="C5" t="s">
        <v>32</v>
      </c>
      <c r="D5" s="1">
        <v>26</v>
      </c>
      <c r="E5" s="1">
        <v>23</v>
      </c>
      <c r="F5" s="1">
        <v>31</v>
      </c>
      <c r="G5" s="1">
        <v>22</v>
      </c>
      <c r="H5" s="1">
        <v>37</v>
      </c>
      <c r="I5" s="1">
        <v>22</v>
      </c>
      <c r="J5" s="1">
        <v>33</v>
      </c>
      <c r="K5" s="1">
        <v>52</v>
      </c>
      <c r="L5" s="1"/>
      <c r="M5" s="1"/>
      <c r="N5" s="1"/>
      <c r="O5" s="1"/>
      <c r="P5" s="1"/>
      <c r="Q5" s="1"/>
      <c r="R5" s="1"/>
      <c r="S5">
        <f t="shared" si="0"/>
        <v>246</v>
      </c>
      <c r="T5">
        <f t="shared" si="1"/>
        <v>8</v>
      </c>
      <c r="U5">
        <f t="shared" si="2"/>
        <v>0</v>
      </c>
      <c r="V5">
        <f t="shared" si="3"/>
        <v>8</v>
      </c>
      <c r="W5">
        <f t="shared" si="4"/>
        <v>30.75</v>
      </c>
    </row>
    <row r="6" spans="2:23">
      <c r="C6" t="s">
        <v>33</v>
      </c>
      <c r="D6" s="1">
        <v>28</v>
      </c>
      <c r="E6" s="1">
        <v>22</v>
      </c>
      <c r="F6" s="1">
        <v>21</v>
      </c>
      <c r="G6" s="1">
        <v>23</v>
      </c>
      <c r="H6" s="1">
        <v>23</v>
      </c>
      <c r="I6" s="1">
        <v>29</v>
      </c>
      <c r="J6" s="1">
        <v>31</v>
      </c>
      <c r="K6" s="1">
        <v>21</v>
      </c>
      <c r="L6" s="1">
        <v>24</v>
      </c>
      <c r="M6" s="1"/>
      <c r="N6" s="1"/>
      <c r="O6" s="1"/>
      <c r="P6" s="1"/>
      <c r="Q6" s="1"/>
      <c r="R6" s="1"/>
      <c r="S6">
        <f t="shared" si="0"/>
        <v>222</v>
      </c>
      <c r="T6">
        <f t="shared" si="1"/>
        <v>9</v>
      </c>
      <c r="U6">
        <f t="shared" si="2"/>
        <v>0</v>
      </c>
      <c r="V6">
        <f t="shared" si="3"/>
        <v>9</v>
      </c>
      <c r="W6">
        <f t="shared" si="4"/>
        <v>24.666666666666668</v>
      </c>
    </row>
    <row r="7" spans="2:23">
      <c r="C7" t="s">
        <v>34</v>
      </c>
      <c r="D7" s="1">
        <v>25</v>
      </c>
      <c r="E7" s="1">
        <v>0</v>
      </c>
      <c r="F7" s="1">
        <v>0</v>
      </c>
      <c r="G7" s="1">
        <v>21</v>
      </c>
      <c r="H7" s="1">
        <v>0</v>
      </c>
      <c r="I7" s="1">
        <v>21</v>
      </c>
      <c r="J7" s="1">
        <v>31</v>
      </c>
      <c r="K7" s="1">
        <v>0</v>
      </c>
      <c r="L7" s="1">
        <v>0</v>
      </c>
      <c r="M7" s="1">
        <v>23</v>
      </c>
      <c r="N7" s="1">
        <v>19</v>
      </c>
      <c r="O7" s="1">
        <v>25</v>
      </c>
      <c r="P7" s="1">
        <v>22</v>
      </c>
      <c r="Q7" s="1">
        <v>24</v>
      </c>
      <c r="R7" s="1"/>
      <c r="S7">
        <f t="shared" si="0"/>
        <v>211</v>
      </c>
      <c r="T7">
        <f t="shared" si="1"/>
        <v>14</v>
      </c>
      <c r="U7">
        <f t="shared" si="2"/>
        <v>5</v>
      </c>
      <c r="V7">
        <f t="shared" si="3"/>
        <v>9</v>
      </c>
      <c r="W7">
        <f t="shared" si="4"/>
        <v>23.444444444444443</v>
      </c>
    </row>
    <row r="8" spans="2:23">
      <c r="C8" t="s">
        <v>35</v>
      </c>
      <c r="D8" s="1">
        <v>22</v>
      </c>
      <c r="E8" s="1">
        <v>23</v>
      </c>
      <c r="F8" s="1">
        <v>22</v>
      </c>
      <c r="G8" s="1">
        <v>28</v>
      </c>
      <c r="H8" s="1">
        <v>23</v>
      </c>
      <c r="I8" s="1">
        <v>0</v>
      </c>
      <c r="J8" s="1">
        <v>37</v>
      </c>
      <c r="K8" s="1">
        <v>0</v>
      </c>
      <c r="L8" s="1">
        <v>22</v>
      </c>
      <c r="M8" s="1"/>
      <c r="N8" s="1"/>
      <c r="O8" s="1"/>
      <c r="P8" s="1"/>
      <c r="Q8" s="1"/>
      <c r="R8" s="1"/>
      <c r="S8">
        <f t="shared" si="0"/>
        <v>177</v>
      </c>
      <c r="T8">
        <f t="shared" si="1"/>
        <v>9</v>
      </c>
      <c r="U8">
        <f t="shared" si="2"/>
        <v>2</v>
      </c>
      <c r="V8">
        <f t="shared" si="3"/>
        <v>7</v>
      </c>
      <c r="W8">
        <f t="shared" si="4"/>
        <v>25.285714285714285</v>
      </c>
    </row>
    <row r="9" spans="2:23">
      <c r="C9" t="s">
        <v>36</v>
      </c>
      <c r="D9" s="1">
        <v>21</v>
      </c>
      <c r="E9" s="1">
        <v>0</v>
      </c>
      <c r="F9" s="1">
        <v>28</v>
      </c>
      <c r="G9" s="1">
        <v>0</v>
      </c>
      <c r="H9" s="1">
        <v>27</v>
      </c>
      <c r="I9" s="1">
        <v>24</v>
      </c>
      <c r="J9" s="1">
        <v>0</v>
      </c>
      <c r="K9" s="1">
        <v>25</v>
      </c>
      <c r="L9" s="1">
        <v>26</v>
      </c>
      <c r="M9" s="1">
        <v>24</v>
      </c>
      <c r="N9" s="1">
        <v>23</v>
      </c>
      <c r="O9" s="1">
        <v>24</v>
      </c>
      <c r="P9" s="1"/>
      <c r="Q9" s="1"/>
      <c r="R9" s="1"/>
      <c r="S9">
        <f t="shared" si="0"/>
        <v>222</v>
      </c>
      <c r="T9">
        <f t="shared" si="1"/>
        <v>12</v>
      </c>
      <c r="U9">
        <f t="shared" si="2"/>
        <v>3</v>
      </c>
      <c r="V9">
        <f t="shared" si="3"/>
        <v>9</v>
      </c>
      <c r="W9">
        <f t="shared" si="4"/>
        <v>24.666666666666668</v>
      </c>
    </row>
    <row r="10" spans="2:23">
      <c r="C10" t="s">
        <v>37</v>
      </c>
      <c r="D10" s="1">
        <v>30</v>
      </c>
      <c r="E10" s="1">
        <v>25</v>
      </c>
      <c r="F10" s="1">
        <v>24</v>
      </c>
      <c r="G10" s="1">
        <v>21</v>
      </c>
      <c r="H10" s="1">
        <v>34</v>
      </c>
      <c r="I10" s="1">
        <v>28</v>
      </c>
      <c r="J10" s="1">
        <v>23</v>
      </c>
      <c r="K10" s="1">
        <v>23</v>
      </c>
      <c r="L10" s="1"/>
      <c r="M10" s="1"/>
      <c r="N10" s="1"/>
      <c r="O10" s="1"/>
      <c r="P10" s="1"/>
      <c r="Q10" s="1"/>
      <c r="R10" s="1"/>
      <c r="S10">
        <f t="shared" si="0"/>
        <v>208</v>
      </c>
      <c r="T10">
        <f t="shared" si="1"/>
        <v>8</v>
      </c>
      <c r="U10">
        <f t="shared" si="2"/>
        <v>0</v>
      </c>
      <c r="V10">
        <f t="shared" si="3"/>
        <v>8</v>
      </c>
      <c r="W10">
        <f t="shared" si="4"/>
        <v>26</v>
      </c>
    </row>
    <row r="11" spans="2:23">
      <c r="C11" t="s">
        <v>38</v>
      </c>
      <c r="D11" s="1">
        <v>0</v>
      </c>
      <c r="E11" s="1">
        <v>26</v>
      </c>
      <c r="F11" s="1">
        <v>25</v>
      </c>
      <c r="G11" s="1">
        <v>31</v>
      </c>
      <c r="H11" s="1">
        <v>0</v>
      </c>
      <c r="I11" s="1">
        <v>30</v>
      </c>
      <c r="J11" s="1">
        <v>29</v>
      </c>
      <c r="K11" s="1">
        <v>34</v>
      </c>
      <c r="L11" s="1">
        <v>0</v>
      </c>
      <c r="M11" s="1">
        <v>24</v>
      </c>
      <c r="N11" s="1">
        <v>0</v>
      </c>
      <c r="O11" s="1">
        <v>23</v>
      </c>
      <c r="P11" s="1"/>
      <c r="Q11" s="1"/>
      <c r="R11" s="1"/>
      <c r="S11">
        <f t="shared" si="0"/>
        <v>222</v>
      </c>
      <c r="T11">
        <f t="shared" si="1"/>
        <v>12</v>
      </c>
      <c r="U11">
        <f t="shared" si="2"/>
        <v>4</v>
      </c>
      <c r="V11">
        <f t="shared" si="3"/>
        <v>8</v>
      </c>
      <c r="W11">
        <f t="shared" si="4"/>
        <v>27.75</v>
      </c>
    </row>
    <row r="12" spans="2:23">
      <c r="C12" t="s">
        <v>39</v>
      </c>
      <c r="D12" s="1">
        <v>23</v>
      </c>
      <c r="E12" s="1">
        <v>24</v>
      </c>
      <c r="F12" s="1">
        <v>27</v>
      </c>
      <c r="G12" s="1">
        <v>24</v>
      </c>
      <c r="H12" s="1">
        <v>0</v>
      </c>
      <c r="I12" s="1">
        <v>24</v>
      </c>
      <c r="J12" s="1">
        <v>18</v>
      </c>
      <c r="K12" s="1">
        <v>28</v>
      </c>
      <c r="L12" s="1">
        <v>0</v>
      </c>
      <c r="M12" s="1">
        <v>27</v>
      </c>
      <c r="N12" s="1">
        <v>25</v>
      </c>
      <c r="O12" s="1"/>
      <c r="P12" s="1"/>
      <c r="Q12" s="1"/>
      <c r="R12" s="1"/>
      <c r="S12">
        <f t="shared" si="0"/>
        <v>220</v>
      </c>
      <c r="T12">
        <f t="shared" si="1"/>
        <v>11</v>
      </c>
      <c r="U12">
        <f t="shared" si="2"/>
        <v>2</v>
      </c>
      <c r="V12">
        <f t="shared" si="3"/>
        <v>9</v>
      </c>
      <c r="W12">
        <f t="shared" si="4"/>
        <v>24.444444444444443</v>
      </c>
    </row>
    <row r="13" spans="2:23">
      <c r="S13" t="s">
        <v>52</v>
      </c>
      <c r="T13">
        <f>AVERAGE(T3:T12)</f>
        <v>10.5</v>
      </c>
      <c r="U13">
        <f t="shared" ref="U13:W13" si="5">AVERAGE(U3:U12)</f>
        <v>2.2999999999999998</v>
      </c>
      <c r="V13">
        <f t="shared" si="5"/>
        <v>8.1999999999999993</v>
      </c>
      <c r="W13">
        <f t="shared" si="5"/>
        <v>26.147222222222222</v>
      </c>
    </row>
  </sheetData>
  <conditionalFormatting sqref="D3:R12">
    <cfRule type="colorScale" priority="1">
      <colorScale>
        <cfvo type="min"/>
        <cfvo type="max"/>
        <color rgb="FFFF7128"/>
        <color theme="9"/>
      </colorScale>
    </cfRule>
    <cfRule type="cellIs" dxfId="2" priority="3" operator="equal">
      <formula>0</formula>
    </cfRule>
  </conditionalFormatting>
  <conditionalFormatting sqref="E7">
    <cfRule type="colorScale" priority="2">
      <colorScale>
        <cfvo type="min"/>
        <cfvo type="max"/>
        <color rgb="FFFF7128"/>
        <color theme="9"/>
      </colorScale>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C5D68-9FEA-4FF1-9C76-48A9A8DEC204}">
  <dimension ref="B2:W13"/>
  <sheetViews>
    <sheetView topLeftCell="B1" workbookViewId="0">
      <selection activeCell="K5" sqref="K5"/>
    </sheetView>
  </sheetViews>
  <sheetFormatPr defaultRowHeight="15"/>
  <cols>
    <col min="2" max="2" width="29.140625" bestFit="1" customWidth="1"/>
  </cols>
  <sheetData>
    <row r="2" spans="2:23">
      <c r="B2" t="s">
        <v>70</v>
      </c>
      <c r="D2" t="s">
        <v>19</v>
      </c>
      <c r="E2" t="s">
        <v>20</v>
      </c>
      <c r="F2" t="s">
        <v>21</v>
      </c>
      <c r="G2" t="s">
        <v>22</v>
      </c>
      <c r="H2" t="s">
        <v>23</v>
      </c>
      <c r="I2" t="s">
        <v>24</v>
      </c>
      <c r="J2" t="s">
        <v>25</v>
      </c>
      <c r="K2" t="s">
        <v>26</v>
      </c>
      <c r="L2" t="s">
        <v>27</v>
      </c>
      <c r="M2" t="s">
        <v>28</v>
      </c>
      <c r="N2" t="s">
        <v>29</v>
      </c>
      <c r="O2" t="s">
        <v>30</v>
      </c>
      <c r="P2" t="s">
        <v>40</v>
      </c>
      <c r="Q2" t="s">
        <v>41</v>
      </c>
      <c r="R2" t="s">
        <v>42</v>
      </c>
      <c r="S2" t="s">
        <v>50</v>
      </c>
      <c r="T2" t="s">
        <v>49</v>
      </c>
      <c r="U2" t="s">
        <v>48</v>
      </c>
      <c r="V2" t="s">
        <v>51</v>
      </c>
      <c r="W2" t="s">
        <v>77</v>
      </c>
    </row>
    <row r="3" spans="2:23">
      <c r="C3" t="s">
        <v>18</v>
      </c>
      <c r="D3" s="1">
        <v>34</v>
      </c>
      <c r="E3" s="1">
        <v>0</v>
      </c>
      <c r="F3" s="1">
        <v>40</v>
      </c>
      <c r="G3" s="1">
        <v>38</v>
      </c>
      <c r="H3" s="1">
        <v>0</v>
      </c>
      <c r="I3" s="1">
        <v>30</v>
      </c>
      <c r="J3" s="1">
        <v>24</v>
      </c>
      <c r="K3" s="1">
        <v>36</v>
      </c>
      <c r="L3" s="1">
        <v>0</v>
      </c>
      <c r="M3" s="1">
        <v>37</v>
      </c>
      <c r="N3" s="1"/>
      <c r="O3" s="1"/>
      <c r="P3" s="1"/>
      <c r="Q3" s="1"/>
      <c r="R3" s="1"/>
      <c r="S3">
        <f>SUM(D3:R3)</f>
        <v>239</v>
      </c>
      <c r="T3">
        <f>COUNT(D3:R3)</f>
        <v>10</v>
      </c>
      <c r="U3">
        <f>COUNTIF(D3:R3,0)</f>
        <v>3</v>
      </c>
      <c r="V3">
        <f>T3-U3</f>
        <v>7</v>
      </c>
      <c r="W3">
        <f>S3/V3</f>
        <v>34.142857142857146</v>
      </c>
    </row>
    <row r="4" spans="2:23">
      <c r="C4" t="s">
        <v>31</v>
      </c>
      <c r="D4" s="1">
        <v>0</v>
      </c>
      <c r="E4" s="1">
        <v>38</v>
      </c>
      <c r="F4" s="1">
        <v>0</v>
      </c>
      <c r="G4" s="1">
        <v>41</v>
      </c>
      <c r="H4" s="1">
        <v>37</v>
      </c>
      <c r="I4" s="1">
        <v>44</v>
      </c>
      <c r="J4" s="1">
        <v>35</v>
      </c>
      <c r="K4" s="1">
        <v>34</v>
      </c>
      <c r="L4" s="1"/>
      <c r="M4" s="1"/>
      <c r="N4" s="1"/>
      <c r="O4" s="1"/>
      <c r="P4" s="1"/>
      <c r="Q4" s="1"/>
      <c r="R4" s="1"/>
      <c r="S4">
        <f t="shared" ref="S4:S12" si="0">SUM(D4:R4)</f>
        <v>229</v>
      </c>
      <c r="T4">
        <f t="shared" ref="T4:T12" si="1">COUNT(D4:R4)</f>
        <v>8</v>
      </c>
      <c r="U4">
        <f t="shared" ref="U4:U12" si="2">COUNTIF(D4:R4,0)</f>
        <v>2</v>
      </c>
      <c r="V4">
        <f t="shared" ref="V4:V12" si="3">T4-U4</f>
        <v>6</v>
      </c>
      <c r="W4">
        <f t="shared" ref="W4:W12" si="4">S4/V4</f>
        <v>38.166666666666664</v>
      </c>
    </row>
    <row r="5" spans="2:23">
      <c r="C5" t="s">
        <v>32</v>
      </c>
      <c r="D5" s="1">
        <v>0</v>
      </c>
      <c r="E5" s="1">
        <v>54</v>
      </c>
      <c r="F5" s="1">
        <v>35</v>
      </c>
      <c r="G5" s="1">
        <v>33</v>
      </c>
      <c r="H5" s="1">
        <v>0</v>
      </c>
      <c r="I5" s="1">
        <v>40</v>
      </c>
      <c r="J5" s="1">
        <v>0</v>
      </c>
      <c r="K5" s="1">
        <v>39</v>
      </c>
      <c r="L5" s="1"/>
      <c r="M5" s="1"/>
      <c r="N5" s="1"/>
      <c r="O5" s="1"/>
      <c r="P5" s="1"/>
      <c r="Q5" s="1"/>
      <c r="R5" s="1"/>
      <c r="S5">
        <f t="shared" si="0"/>
        <v>201</v>
      </c>
      <c r="T5">
        <f t="shared" si="1"/>
        <v>8</v>
      </c>
      <c r="U5">
        <f t="shared" si="2"/>
        <v>3</v>
      </c>
      <c r="V5">
        <f t="shared" si="3"/>
        <v>5</v>
      </c>
      <c r="W5">
        <f t="shared" si="4"/>
        <v>40.200000000000003</v>
      </c>
    </row>
    <row r="6" spans="2:23">
      <c r="C6" t="s">
        <v>33</v>
      </c>
      <c r="D6" s="1">
        <v>0</v>
      </c>
      <c r="E6" s="1">
        <v>0</v>
      </c>
      <c r="F6" s="1">
        <v>0</v>
      </c>
      <c r="G6" s="1">
        <v>30</v>
      </c>
      <c r="H6" s="1">
        <v>0</v>
      </c>
      <c r="I6" s="1">
        <v>32</v>
      </c>
      <c r="J6" s="1">
        <v>0</v>
      </c>
      <c r="K6" s="1">
        <v>23</v>
      </c>
      <c r="L6" s="1">
        <v>42</v>
      </c>
      <c r="M6" s="1">
        <v>29</v>
      </c>
      <c r="N6" s="1">
        <v>0</v>
      </c>
      <c r="O6" s="1">
        <v>32</v>
      </c>
      <c r="P6" s="1">
        <v>0</v>
      </c>
      <c r="Q6" s="1">
        <v>38</v>
      </c>
      <c r="R6" s="1"/>
      <c r="S6">
        <f t="shared" si="0"/>
        <v>226</v>
      </c>
      <c r="T6">
        <f t="shared" si="1"/>
        <v>14</v>
      </c>
      <c r="U6">
        <f t="shared" si="2"/>
        <v>7</v>
      </c>
      <c r="V6">
        <f t="shared" si="3"/>
        <v>7</v>
      </c>
      <c r="W6">
        <f t="shared" si="4"/>
        <v>32.285714285714285</v>
      </c>
    </row>
    <row r="7" spans="2:23">
      <c r="C7" t="s">
        <v>34</v>
      </c>
      <c r="D7" s="1">
        <v>0</v>
      </c>
      <c r="E7" s="1">
        <v>35</v>
      </c>
      <c r="F7" s="1">
        <v>42</v>
      </c>
      <c r="G7" s="1">
        <v>0</v>
      </c>
      <c r="H7" s="1">
        <v>34</v>
      </c>
      <c r="I7" s="1">
        <v>33</v>
      </c>
      <c r="J7" s="1">
        <v>0</v>
      </c>
      <c r="K7" s="1">
        <v>0</v>
      </c>
      <c r="L7" s="1">
        <v>0</v>
      </c>
      <c r="M7" s="1">
        <v>45</v>
      </c>
      <c r="N7" s="1">
        <v>27</v>
      </c>
      <c r="O7" s="1"/>
      <c r="P7" s="1"/>
      <c r="Q7" s="1"/>
      <c r="R7" s="1"/>
      <c r="S7">
        <f t="shared" si="0"/>
        <v>216</v>
      </c>
      <c r="T7">
        <f t="shared" si="1"/>
        <v>11</v>
      </c>
      <c r="U7">
        <f t="shared" si="2"/>
        <v>5</v>
      </c>
      <c r="V7">
        <f t="shared" si="3"/>
        <v>6</v>
      </c>
      <c r="W7">
        <f t="shared" si="4"/>
        <v>36</v>
      </c>
    </row>
    <row r="8" spans="2:23">
      <c r="C8" t="s">
        <v>35</v>
      </c>
      <c r="D8" s="1">
        <v>32</v>
      </c>
      <c r="E8" s="1">
        <v>40</v>
      </c>
      <c r="F8" s="1">
        <v>37</v>
      </c>
      <c r="G8" s="1">
        <v>33</v>
      </c>
      <c r="H8" s="1">
        <v>0</v>
      </c>
      <c r="I8" s="1">
        <v>31</v>
      </c>
      <c r="J8" s="1">
        <v>38</v>
      </c>
      <c r="K8" s="1"/>
      <c r="L8" s="1"/>
      <c r="M8" s="1"/>
      <c r="N8" s="1"/>
      <c r="O8" s="1"/>
      <c r="P8" s="1"/>
      <c r="Q8" s="1"/>
      <c r="R8" s="1"/>
      <c r="S8">
        <f t="shared" si="0"/>
        <v>211</v>
      </c>
      <c r="T8">
        <f t="shared" si="1"/>
        <v>7</v>
      </c>
      <c r="U8">
        <f t="shared" si="2"/>
        <v>1</v>
      </c>
      <c r="V8">
        <f t="shared" si="3"/>
        <v>6</v>
      </c>
      <c r="W8">
        <f t="shared" si="4"/>
        <v>35.166666666666664</v>
      </c>
    </row>
    <row r="9" spans="2:23">
      <c r="C9" t="s">
        <v>36</v>
      </c>
      <c r="D9" s="1">
        <v>32</v>
      </c>
      <c r="E9" s="1">
        <v>0</v>
      </c>
      <c r="F9" s="1">
        <v>33</v>
      </c>
      <c r="G9" s="1">
        <v>33</v>
      </c>
      <c r="H9" s="1">
        <v>0</v>
      </c>
      <c r="I9" s="1">
        <v>27</v>
      </c>
      <c r="J9" s="1">
        <v>33</v>
      </c>
      <c r="K9" s="1">
        <v>0</v>
      </c>
      <c r="L9" s="1">
        <v>36</v>
      </c>
      <c r="M9" s="1">
        <v>0</v>
      </c>
      <c r="N9" s="1">
        <v>43</v>
      </c>
      <c r="O9" s="1"/>
      <c r="P9" s="1"/>
      <c r="Q9" s="1"/>
      <c r="R9" s="1"/>
      <c r="S9">
        <f t="shared" si="0"/>
        <v>237</v>
      </c>
      <c r="T9">
        <f t="shared" si="1"/>
        <v>11</v>
      </c>
      <c r="U9">
        <f t="shared" si="2"/>
        <v>4</v>
      </c>
      <c r="V9">
        <f t="shared" si="3"/>
        <v>7</v>
      </c>
      <c r="W9">
        <f t="shared" si="4"/>
        <v>33.857142857142854</v>
      </c>
    </row>
    <row r="10" spans="2:23">
      <c r="C10" t="s">
        <v>37</v>
      </c>
      <c r="D10" s="1">
        <v>33</v>
      </c>
      <c r="E10" s="1">
        <v>36</v>
      </c>
      <c r="F10" s="1">
        <v>36</v>
      </c>
      <c r="G10" s="1">
        <v>41</v>
      </c>
      <c r="H10" s="1">
        <v>0</v>
      </c>
      <c r="I10" s="1">
        <v>37</v>
      </c>
      <c r="J10" s="1">
        <v>0</v>
      </c>
      <c r="K10" s="1">
        <v>35</v>
      </c>
      <c r="L10" s="1"/>
      <c r="M10" s="1"/>
      <c r="N10" s="1"/>
      <c r="O10" s="1"/>
      <c r="P10" s="1"/>
      <c r="Q10" s="1"/>
      <c r="R10" s="1"/>
      <c r="S10">
        <f t="shared" si="0"/>
        <v>218</v>
      </c>
      <c r="T10">
        <f t="shared" si="1"/>
        <v>8</v>
      </c>
      <c r="U10">
        <f t="shared" si="2"/>
        <v>2</v>
      </c>
      <c r="V10">
        <f t="shared" si="3"/>
        <v>6</v>
      </c>
      <c r="W10">
        <f t="shared" si="4"/>
        <v>36.333333333333336</v>
      </c>
    </row>
    <row r="11" spans="2:23">
      <c r="C11" t="s">
        <v>38</v>
      </c>
      <c r="D11" s="1">
        <v>0</v>
      </c>
      <c r="E11" s="1">
        <v>34</v>
      </c>
      <c r="F11" s="1">
        <v>0</v>
      </c>
      <c r="G11" s="1">
        <v>0</v>
      </c>
      <c r="H11" s="1">
        <v>0</v>
      </c>
      <c r="I11" s="1">
        <v>0</v>
      </c>
      <c r="J11" s="1">
        <v>48</v>
      </c>
      <c r="K11" s="1">
        <v>0</v>
      </c>
      <c r="L11" s="1">
        <v>35</v>
      </c>
      <c r="M11" s="1">
        <v>41</v>
      </c>
      <c r="N11" s="1">
        <v>0</v>
      </c>
      <c r="O11" s="1">
        <v>28</v>
      </c>
      <c r="P11" s="1">
        <v>34</v>
      </c>
      <c r="Q11" s="1"/>
      <c r="R11" s="1"/>
      <c r="S11">
        <f t="shared" si="0"/>
        <v>220</v>
      </c>
      <c r="T11">
        <f t="shared" si="1"/>
        <v>13</v>
      </c>
      <c r="U11">
        <f t="shared" si="2"/>
        <v>7</v>
      </c>
      <c r="V11">
        <f t="shared" si="3"/>
        <v>6</v>
      </c>
      <c r="W11">
        <f t="shared" si="4"/>
        <v>36.666666666666664</v>
      </c>
    </row>
    <row r="12" spans="2:23">
      <c r="C12" t="s">
        <v>39</v>
      </c>
      <c r="D12" s="1">
        <v>36</v>
      </c>
      <c r="E12" s="1">
        <v>36</v>
      </c>
      <c r="F12" s="1">
        <v>29</v>
      </c>
      <c r="G12" s="1">
        <v>0</v>
      </c>
      <c r="H12" s="1">
        <v>0</v>
      </c>
      <c r="I12" s="1">
        <v>38</v>
      </c>
      <c r="J12" s="1">
        <v>0</v>
      </c>
      <c r="K12" s="1">
        <v>0</v>
      </c>
      <c r="L12" s="1">
        <v>0</v>
      </c>
      <c r="M12" s="1">
        <v>0</v>
      </c>
      <c r="N12" s="1">
        <v>0</v>
      </c>
      <c r="O12" s="1">
        <v>22</v>
      </c>
      <c r="P12" s="1">
        <v>38</v>
      </c>
      <c r="Q12" s="1">
        <v>34</v>
      </c>
      <c r="R12" s="1"/>
      <c r="S12">
        <f t="shared" si="0"/>
        <v>233</v>
      </c>
      <c r="T12">
        <f t="shared" si="1"/>
        <v>14</v>
      </c>
      <c r="U12">
        <f t="shared" si="2"/>
        <v>7</v>
      </c>
      <c r="V12">
        <f t="shared" si="3"/>
        <v>7</v>
      </c>
      <c r="W12">
        <f t="shared" si="4"/>
        <v>33.285714285714285</v>
      </c>
    </row>
    <row r="13" spans="2:23">
      <c r="S13" t="s">
        <v>52</v>
      </c>
      <c r="T13">
        <f>AVERAGE(T3:T12)</f>
        <v>10.4</v>
      </c>
      <c r="U13">
        <f t="shared" ref="U13:W13" si="5">AVERAGE(U3:U12)</f>
        <v>4.0999999999999996</v>
      </c>
      <c r="V13">
        <f t="shared" si="5"/>
        <v>6.3</v>
      </c>
      <c r="W13">
        <f t="shared" si="5"/>
        <v>35.610476190476192</v>
      </c>
    </row>
  </sheetData>
  <conditionalFormatting sqref="D3:R12">
    <cfRule type="colorScale" priority="1">
      <colorScale>
        <cfvo type="min"/>
        <cfvo type="max"/>
        <color rgb="FFFF7128"/>
        <color theme="9"/>
      </colorScale>
    </cfRule>
    <cfRule type="cellIs" dxfId="1" priority="3" operator="equal">
      <formula>0</formula>
    </cfRule>
  </conditionalFormatting>
  <conditionalFormatting sqref="E7">
    <cfRule type="colorScale" priority="2">
      <colorScale>
        <cfvo type="min"/>
        <cfvo type="max"/>
        <color rgb="FFFF7128"/>
        <color theme="9"/>
      </colorScale>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4CB31-4E49-40FF-A731-51E2836E0182}">
  <dimension ref="B2:AB13"/>
  <sheetViews>
    <sheetView topLeftCell="C1" workbookViewId="0">
      <selection activeCell="Z18" sqref="Z18"/>
    </sheetView>
  </sheetViews>
  <sheetFormatPr defaultRowHeight="15"/>
  <cols>
    <col min="2" max="2" width="29.140625" bestFit="1" customWidth="1"/>
  </cols>
  <sheetData>
    <row r="2" spans="2:28">
      <c r="B2" t="s">
        <v>71</v>
      </c>
      <c r="D2" t="s">
        <v>19</v>
      </c>
      <c r="E2" t="s">
        <v>20</v>
      </c>
      <c r="F2" t="s">
        <v>21</v>
      </c>
      <c r="G2" t="s">
        <v>22</v>
      </c>
      <c r="H2" t="s">
        <v>23</v>
      </c>
      <c r="I2" t="s">
        <v>24</v>
      </c>
      <c r="J2" t="s">
        <v>25</v>
      </c>
      <c r="K2" t="s">
        <v>26</v>
      </c>
      <c r="L2" t="s">
        <v>27</v>
      </c>
      <c r="M2" t="s">
        <v>28</v>
      </c>
      <c r="N2" t="s">
        <v>29</v>
      </c>
      <c r="O2" t="s">
        <v>30</v>
      </c>
      <c r="P2" t="s">
        <v>40</v>
      </c>
      <c r="Q2" t="s">
        <v>41</v>
      </c>
      <c r="R2" t="s">
        <v>42</v>
      </c>
      <c r="S2" t="s">
        <v>72</v>
      </c>
      <c r="T2" t="s">
        <v>73</v>
      </c>
      <c r="U2" t="s">
        <v>74</v>
      </c>
      <c r="V2" t="s">
        <v>75</v>
      </c>
      <c r="W2" t="s">
        <v>76</v>
      </c>
      <c r="X2" t="s">
        <v>50</v>
      </c>
      <c r="Y2" t="s">
        <v>49</v>
      </c>
      <c r="Z2" t="s">
        <v>48</v>
      </c>
      <c r="AA2" t="s">
        <v>51</v>
      </c>
      <c r="AB2" t="s">
        <v>77</v>
      </c>
    </row>
    <row r="3" spans="2:28">
      <c r="C3" t="s">
        <v>18</v>
      </c>
      <c r="D3" s="1">
        <v>0</v>
      </c>
      <c r="E3" s="1">
        <v>0</v>
      </c>
      <c r="F3" s="1">
        <v>42</v>
      </c>
      <c r="G3" s="1">
        <v>0</v>
      </c>
      <c r="H3" s="1">
        <v>0</v>
      </c>
      <c r="I3" s="1">
        <v>43</v>
      </c>
      <c r="J3" s="1">
        <v>0</v>
      </c>
      <c r="K3" s="1">
        <v>0</v>
      </c>
      <c r="L3" s="1">
        <v>0</v>
      </c>
      <c r="M3" s="1">
        <v>0</v>
      </c>
      <c r="N3" s="1">
        <v>0</v>
      </c>
      <c r="O3" s="1">
        <v>45</v>
      </c>
      <c r="P3" s="1">
        <v>0</v>
      </c>
      <c r="Q3" s="1">
        <v>0</v>
      </c>
      <c r="R3" s="1">
        <v>0</v>
      </c>
      <c r="S3" s="1">
        <v>0</v>
      </c>
      <c r="T3" s="1">
        <v>50</v>
      </c>
      <c r="U3" s="1">
        <v>34</v>
      </c>
      <c r="V3" s="1"/>
      <c r="W3" s="1"/>
      <c r="X3">
        <f>SUM(D3:W3)</f>
        <v>214</v>
      </c>
      <c r="Y3">
        <f>COUNT(D3:W3)</f>
        <v>18</v>
      </c>
      <c r="Z3">
        <f>COUNTIF(D3:W3,0)</f>
        <v>13</v>
      </c>
      <c r="AA3">
        <f>Y3-Z3</f>
        <v>5</v>
      </c>
      <c r="AB3">
        <f>X3/AA3</f>
        <v>42.8</v>
      </c>
    </row>
    <row r="4" spans="2:28">
      <c r="C4" t="s">
        <v>31</v>
      </c>
      <c r="D4" s="1">
        <v>0</v>
      </c>
      <c r="E4" s="1">
        <v>0</v>
      </c>
      <c r="F4" s="1">
        <v>0</v>
      </c>
      <c r="G4" s="1">
        <v>0</v>
      </c>
      <c r="H4" s="1">
        <v>0</v>
      </c>
      <c r="I4" s="1">
        <v>0</v>
      </c>
      <c r="J4" s="1">
        <v>0</v>
      </c>
      <c r="K4" s="1">
        <v>40</v>
      </c>
      <c r="L4" s="1">
        <v>0</v>
      </c>
      <c r="M4" s="1">
        <v>0</v>
      </c>
      <c r="N4" s="1">
        <v>41</v>
      </c>
      <c r="O4" s="1">
        <v>34</v>
      </c>
      <c r="P4" s="1">
        <v>0</v>
      </c>
      <c r="Q4" s="1">
        <v>43</v>
      </c>
      <c r="R4" s="1">
        <v>34</v>
      </c>
      <c r="S4" s="1">
        <v>45</v>
      </c>
      <c r="T4" s="1"/>
      <c r="U4" s="1"/>
      <c r="V4" s="1"/>
      <c r="W4" s="1"/>
      <c r="X4">
        <f t="shared" ref="X4:X12" si="0">SUM(D4:W4)</f>
        <v>237</v>
      </c>
      <c r="Y4">
        <f t="shared" ref="Y4:Y12" si="1">COUNT(D4:W4)</f>
        <v>16</v>
      </c>
      <c r="Z4">
        <f t="shared" ref="Z4:Z12" si="2">COUNTIF(D4:W4,0)</f>
        <v>10</v>
      </c>
      <c r="AA4">
        <f t="shared" ref="AA4:AA12" si="3">Y4-Z4</f>
        <v>6</v>
      </c>
      <c r="AB4">
        <f t="shared" ref="AB4:AB12" si="4">X4/AA4</f>
        <v>39.5</v>
      </c>
    </row>
    <row r="5" spans="2:28">
      <c r="C5" t="s">
        <v>32</v>
      </c>
      <c r="D5" s="1">
        <v>0</v>
      </c>
      <c r="E5" s="1">
        <v>0</v>
      </c>
      <c r="F5" s="1">
        <v>51</v>
      </c>
      <c r="G5" s="1">
        <v>0</v>
      </c>
      <c r="H5" s="1">
        <v>58</v>
      </c>
      <c r="I5" s="1">
        <v>0</v>
      </c>
      <c r="J5" s="1">
        <v>0</v>
      </c>
      <c r="K5" s="1">
        <v>40</v>
      </c>
      <c r="L5" s="1">
        <v>0</v>
      </c>
      <c r="M5" s="1">
        <v>39</v>
      </c>
      <c r="N5" s="1">
        <v>0</v>
      </c>
      <c r="O5" s="1">
        <v>0</v>
      </c>
      <c r="P5" s="1">
        <v>0</v>
      </c>
      <c r="Q5" s="1">
        <v>0</v>
      </c>
      <c r="R5" s="1">
        <v>31</v>
      </c>
      <c r="S5" s="1"/>
      <c r="T5" s="1"/>
      <c r="U5" s="1"/>
      <c r="V5" s="1"/>
      <c r="W5" s="1"/>
      <c r="X5">
        <f t="shared" si="0"/>
        <v>219</v>
      </c>
      <c r="Y5">
        <f t="shared" si="1"/>
        <v>15</v>
      </c>
      <c r="Z5">
        <f t="shared" si="2"/>
        <v>10</v>
      </c>
      <c r="AA5">
        <f t="shared" si="3"/>
        <v>5</v>
      </c>
      <c r="AB5">
        <f t="shared" si="4"/>
        <v>43.8</v>
      </c>
    </row>
    <row r="6" spans="2:28">
      <c r="C6" t="s">
        <v>33</v>
      </c>
      <c r="D6" s="1">
        <v>0</v>
      </c>
      <c r="E6" s="1">
        <v>0</v>
      </c>
      <c r="F6" s="1">
        <v>0</v>
      </c>
      <c r="G6" s="1">
        <v>44</v>
      </c>
      <c r="H6" s="1">
        <v>0</v>
      </c>
      <c r="I6" s="1">
        <v>59</v>
      </c>
      <c r="J6" s="1">
        <v>0</v>
      </c>
      <c r="K6" s="1">
        <v>0</v>
      </c>
      <c r="L6" s="1">
        <v>43</v>
      </c>
      <c r="M6" s="1">
        <v>45</v>
      </c>
      <c r="N6" s="1">
        <v>0</v>
      </c>
      <c r="O6" s="1">
        <v>0</v>
      </c>
      <c r="P6" s="1">
        <v>0</v>
      </c>
      <c r="Q6" s="1">
        <v>0</v>
      </c>
      <c r="R6" s="1">
        <v>0</v>
      </c>
      <c r="S6" s="1">
        <v>0</v>
      </c>
      <c r="T6" s="1">
        <v>0</v>
      </c>
      <c r="U6" s="1">
        <v>0</v>
      </c>
      <c r="V6" s="1">
        <v>42</v>
      </c>
      <c r="W6" s="1"/>
      <c r="X6">
        <f t="shared" si="0"/>
        <v>233</v>
      </c>
      <c r="Y6">
        <f t="shared" si="1"/>
        <v>19</v>
      </c>
      <c r="Z6">
        <f t="shared" si="2"/>
        <v>14</v>
      </c>
      <c r="AA6">
        <f t="shared" si="3"/>
        <v>5</v>
      </c>
      <c r="AB6">
        <f t="shared" si="4"/>
        <v>46.6</v>
      </c>
    </row>
    <row r="7" spans="2:28">
      <c r="C7" t="s">
        <v>34</v>
      </c>
      <c r="D7" s="1">
        <v>66</v>
      </c>
      <c r="E7" s="1">
        <v>45</v>
      </c>
      <c r="F7" s="1">
        <v>51</v>
      </c>
      <c r="G7" s="1">
        <v>0</v>
      </c>
      <c r="H7" s="1">
        <v>0</v>
      </c>
      <c r="I7" s="1">
        <v>0</v>
      </c>
      <c r="J7" s="1">
        <v>0</v>
      </c>
      <c r="K7" s="1">
        <v>60</v>
      </c>
      <c r="L7" s="1"/>
      <c r="M7" s="1"/>
      <c r="N7" s="1"/>
      <c r="O7" s="1"/>
      <c r="P7" s="1"/>
      <c r="Q7" s="1"/>
      <c r="R7" s="1"/>
      <c r="S7" s="1"/>
      <c r="T7" s="1"/>
      <c r="U7" s="1"/>
      <c r="V7" s="1"/>
      <c r="W7" s="1"/>
      <c r="X7">
        <f t="shared" si="0"/>
        <v>222</v>
      </c>
      <c r="Y7">
        <f t="shared" si="1"/>
        <v>8</v>
      </c>
      <c r="Z7">
        <f t="shared" si="2"/>
        <v>4</v>
      </c>
      <c r="AA7">
        <f t="shared" si="3"/>
        <v>4</v>
      </c>
      <c r="AB7">
        <f t="shared" si="4"/>
        <v>55.5</v>
      </c>
    </row>
    <row r="8" spans="2:28">
      <c r="C8" t="s">
        <v>35</v>
      </c>
      <c r="D8" s="1">
        <v>0</v>
      </c>
      <c r="E8" s="1">
        <v>0</v>
      </c>
      <c r="F8" s="1">
        <v>0</v>
      </c>
      <c r="G8" s="1">
        <v>0</v>
      </c>
      <c r="H8" s="1">
        <v>69</v>
      </c>
      <c r="I8" s="1">
        <v>0</v>
      </c>
      <c r="J8" s="1">
        <v>39</v>
      </c>
      <c r="K8" s="1">
        <v>0</v>
      </c>
      <c r="L8" s="1">
        <v>0</v>
      </c>
      <c r="M8" s="1">
        <v>0</v>
      </c>
      <c r="N8" s="1">
        <v>46</v>
      </c>
      <c r="O8" s="1">
        <v>53</v>
      </c>
      <c r="P8" s="1"/>
      <c r="Q8" s="1"/>
      <c r="R8" s="1"/>
      <c r="S8" s="1"/>
      <c r="T8" s="1"/>
      <c r="U8" s="1"/>
      <c r="V8" s="1"/>
      <c r="W8" s="1"/>
      <c r="X8">
        <f t="shared" si="0"/>
        <v>207</v>
      </c>
      <c r="Y8">
        <f t="shared" si="1"/>
        <v>12</v>
      </c>
      <c r="Z8">
        <f t="shared" si="2"/>
        <v>8</v>
      </c>
      <c r="AA8">
        <f t="shared" si="3"/>
        <v>4</v>
      </c>
      <c r="AB8">
        <f t="shared" si="4"/>
        <v>51.75</v>
      </c>
    </row>
    <row r="9" spans="2:28">
      <c r="C9" t="s">
        <v>36</v>
      </c>
      <c r="D9" s="1">
        <v>45</v>
      </c>
      <c r="E9" s="1">
        <v>0</v>
      </c>
      <c r="F9" s="1">
        <v>38</v>
      </c>
      <c r="G9" s="1">
        <v>53</v>
      </c>
      <c r="H9" s="1">
        <v>0</v>
      </c>
      <c r="I9" s="1">
        <v>41</v>
      </c>
      <c r="J9" s="1">
        <v>53</v>
      </c>
      <c r="K9" s="1"/>
      <c r="L9" s="1"/>
      <c r="M9" s="1"/>
      <c r="N9" s="1"/>
      <c r="O9" s="1"/>
      <c r="P9" s="1"/>
      <c r="Q9" s="1"/>
      <c r="R9" s="1"/>
      <c r="S9" s="1"/>
      <c r="T9" s="1"/>
      <c r="U9" s="1"/>
      <c r="V9" s="1"/>
      <c r="W9" s="1"/>
      <c r="X9">
        <f t="shared" si="0"/>
        <v>230</v>
      </c>
      <c r="Y9">
        <f t="shared" si="1"/>
        <v>7</v>
      </c>
      <c r="Z9">
        <f t="shared" si="2"/>
        <v>2</v>
      </c>
      <c r="AA9">
        <f t="shared" si="3"/>
        <v>5</v>
      </c>
      <c r="AB9">
        <f t="shared" si="4"/>
        <v>46</v>
      </c>
    </row>
    <row r="10" spans="2:28">
      <c r="C10" t="s">
        <v>37</v>
      </c>
      <c r="D10" s="1">
        <v>40</v>
      </c>
      <c r="E10" s="1">
        <v>51</v>
      </c>
      <c r="F10" s="1">
        <v>0</v>
      </c>
      <c r="G10" s="1">
        <v>45</v>
      </c>
      <c r="H10" s="1">
        <v>0</v>
      </c>
      <c r="I10" s="1">
        <v>0</v>
      </c>
      <c r="J10" s="1">
        <v>64</v>
      </c>
      <c r="K10" s="1"/>
      <c r="L10" s="1"/>
      <c r="M10" s="1"/>
      <c r="N10" s="1"/>
      <c r="O10" s="1"/>
      <c r="P10" s="1"/>
      <c r="Q10" s="1"/>
      <c r="R10" s="1"/>
      <c r="S10" s="1"/>
      <c r="T10" s="1"/>
      <c r="U10" s="1"/>
      <c r="V10" s="1"/>
      <c r="W10" s="1"/>
      <c r="X10">
        <f t="shared" si="0"/>
        <v>200</v>
      </c>
      <c r="Y10">
        <f t="shared" si="1"/>
        <v>7</v>
      </c>
      <c r="Z10">
        <f t="shared" si="2"/>
        <v>3</v>
      </c>
      <c r="AA10">
        <f t="shared" si="3"/>
        <v>4</v>
      </c>
      <c r="AB10">
        <f t="shared" si="4"/>
        <v>50</v>
      </c>
    </row>
    <row r="11" spans="2:28">
      <c r="C11" t="s">
        <v>38</v>
      </c>
      <c r="D11" s="1">
        <v>0</v>
      </c>
      <c r="E11" s="1">
        <v>40</v>
      </c>
      <c r="F11" s="1">
        <v>0</v>
      </c>
      <c r="G11" s="1">
        <v>45</v>
      </c>
      <c r="H11" s="1">
        <v>0</v>
      </c>
      <c r="I11" s="1">
        <v>0</v>
      </c>
      <c r="J11" s="1">
        <v>40</v>
      </c>
      <c r="K11" s="1">
        <v>0</v>
      </c>
      <c r="L11" s="1">
        <v>51</v>
      </c>
      <c r="M11" s="1">
        <v>0</v>
      </c>
      <c r="N11" s="1">
        <v>0</v>
      </c>
      <c r="O11" s="1">
        <v>0</v>
      </c>
      <c r="P11" s="1">
        <v>0</v>
      </c>
      <c r="Q11" s="1">
        <v>0</v>
      </c>
      <c r="R11" s="1">
        <v>0</v>
      </c>
      <c r="S11" s="1">
        <v>0</v>
      </c>
      <c r="T11" s="1">
        <v>73</v>
      </c>
      <c r="U11" s="1"/>
      <c r="V11" s="1"/>
      <c r="W11" s="1"/>
      <c r="X11">
        <f t="shared" si="0"/>
        <v>249</v>
      </c>
      <c r="Y11">
        <f t="shared" si="1"/>
        <v>17</v>
      </c>
      <c r="Z11">
        <f t="shared" si="2"/>
        <v>12</v>
      </c>
      <c r="AA11">
        <f t="shared" si="3"/>
        <v>5</v>
      </c>
      <c r="AB11">
        <f t="shared" si="4"/>
        <v>49.8</v>
      </c>
    </row>
    <row r="12" spans="2:28">
      <c r="C12" t="s">
        <v>39</v>
      </c>
      <c r="D12" s="1">
        <v>0</v>
      </c>
      <c r="E12" s="1">
        <v>0</v>
      </c>
      <c r="F12" s="1">
        <v>0</v>
      </c>
      <c r="G12" s="1">
        <v>0</v>
      </c>
      <c r="H12" s="1">
        <v>0</v>
      </c>
      <c r="I12" s="1">
        <v>44</v>
      </c>
      <c r="J12" s="1">
        <v>44</v>
      </c>
      <c r="K12" s="1">
        <v>0</v>
      </c>
      <c r="L12" s="1">
        <v>0</v>
      </c>
      <c r="M12" s="1">
        <v>45</v>
      </c>
      <c r="N12" s="1">
        <v>51</v>
      </c>
      <c r="O12" s="1">
        <v>77</v>
      </c>
      <c r="P12" s="1"/>
      <c r="Q12" s="1"/>
      <c r="R12" s="1"/>
      <c r="S12" s="1"/>
      <c r="T12" s="1"/>
      <c r="U12" s="1"/>
      <c r="V12" s="1"/>
      <c r="W12" s="1"/>
      <c r="X12">
        <f t="shared" si="0"/>
        <v>261</v>
      </c>
      <c r="Y12">
        <f t="shared" si="1"/>
        <v>12</v>
      </c>
      <c r="Z12">
        <f t="shared" si="2"/>
        <v>7</v>
      </c>
      <c r="AA12">
        <f t="shared" si="3"/>
        <v>5</v>
      </c>
      <c r="AB12">
        <f t="shared" si="4"/>
        <v>52.2</v>
      </c>
    </row>
    <row r="13" spans="2:28">
      <c r="X13" t="s">
        <v>52</v>
      </c>
      <c r="Y13">
        <f>AVERAGE(Y3:Y12)</f>
        <v>13.1</v>
      </c>
      <c r="Z13">
        <f t="shared" ref="Z13:AB13" si="5">AVERAGE(Z3:Z12)</f>
        <v>8.3000000000000007</v>
      </c>
      <c r="AA13">
        <f t="shared" si="5"/>
        <v>4.8</v>
      </c>
      <c r="AB13">
        <f t="shared" si="5"/>
        <v>47.795000000000002</v>
      </c>
    </row>
  </sheetData>
  <phoneticPr fontId="3" type="noConversion"/>
  <conditionalFormatting sqref="D3:W12">
    <cfRule type="colorScale" priority="1">
      <colorScale>
        <cfvo type="min"/>
        <cfvo type="max"/>
        <color rgb="FFFF7128"/>
        <color theme="9"/>
      </colorScale>
    </cfRule>
    <cfRule type="cellIs" dxfId="0" priority="3" operator="equal">
      <formula>0</formula>
    </cfRule>
  </conditionalFormatting>
  <conditionalFormatting sqref="E7">
    <cfRule type="colorScale" priority="2">
      <colorScale>
        <cfvo type="min"/>
        <cfvo type="max"/>
        <color rgb="FFFF7128"/>
        <color theme="9"/>
      </colorScale>
    </cfRule>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E3995-4916-449B-98A9-0E18F081C1CA}">
  <dimension ref="A1"/>
  <sheetViews>
    <sheetView workbookViewId="0"/>
  </sheetViews>
  <sheetFormatPr defaultRowHeight="1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09C21-A071-4A88-BF53-733E0253EA5B}">
  <dimension ref="A1"/>
  <sheetViews>
    <sheetView topLeftCell="AU1"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Master Data</vt:lpstr>
      <vt:lpstr>Human No Prob</vt:lpstr>
      <vt:lpstr>Human Prob</vt:lpstr>
      <vt:lpstr>2 Card Bank</vt:lpstr>
      <vt:lpstr>3 Card Bank</vt:lpstr>
      <vt:lpstr>4 Card Bank</vt:lpstr>
      <vt:lpstr>Flip7 or Bust</vt:lpstr>
      <vt:lpstr>Score 20 Bank</vt:lpstr>
      <vt:lpstr>Score 25 Bank</vt:lpstr>
      <vt:lpstr>Score 30 Bank</vt:lpstr>
      <vt:lpstr>Score 35 Bank</vt:lpstr>
      <vt:lpstr>Score 40 Bank</vt:lpstr>
      <vt:lpstr>Cumulative Odds 70%</vt:lpstr>
      <vt:lpstr>Cumulative Odds 60%</vt:lpstr>
      <vt:lpstr>Cumulative Odds 50%</vt:lpstr>
      <vt:lpstr>Cumulative Odds 40%</vt:lpstr>
      <vt:lpstr>Cumulative Odds 30%</vt:lpstr>
      <vt:lpstr>Individual Odds 10%</vt:lpstr>
      <vt:lpstr>Individual Odds 20%</vt:lpstr>
      <vt:lpstr>Individual Odds 30%</vt:lpstr>
      <vt:lpstr>Individual Odds 40%</vt:lpstr>
      <vt:lpstr>Sheet22</vt:lpstr>
      <vt:lpstr>Sheet23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Bobby Lang</dc:creator>
  <cp:lastModifiedBy>Bobby Lang</cp:lastModifiedBy>
  <dcterms:created xsi:type="dcterms:W3CDTF">2026-04-24T11:28:10Z</dcterms:created>
  <dcterms:modified xsi:type="dcterms:W3CDTF">2026-06-02T10:43:40Z</dcterms:modified>
</cp:coreProperties>
</file>