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b39dc15afb2f4832/Documents/Stuff/Github/Flip-7-Strategy-Finder/"/>
    </mc:Choice>
  </mc:AlternateContent>
  <xr:revisionPtr revIDLastSave="3673" documentId="8_{518FECA9-5F80-4709-BD1F-73FC317A950E}" xr6:coauthVersionLast="47" xr6:coauthVersionMax="47" xr10:uidLastSave="{30C9B9ED-772E-47E0-85E3-322D0AFB8391}"/>
  <bookViews>
    <workbookView xWindow="-120" yWindow="-120" windowWidth="29040" windowHeight="15720" xr2:uid="{620B4B94-E82A-42AE-95A9-ED21412A2FCA}"/>
  </bookViews>
  <sheets>
    <sheet name="Master Data" sheetId="1" r:id="rId1"/>
    <sheet name="Human No Prob" sheetId="2" r:id="rId2"/>
    <sheet name="Human Prob" sheetId="3" r:id="rId3"/>
    <sheet name="2 Card Bank" sheetId="5" r:id="rId4"/>
    <sheet name="3 Card Bank" sheetId="4" r:id="rId5"/>
    <sheet name="4 Card Bank" sheetId="6" r:id="rId6"/>
    <sheet name="Flip7 or Bust" sheetId="7" r:id="rId7"/>
    <sheet name="Bank Score 20+" sheetId="8" r:id="rId8"/>
    <sheet name="Bank Score 25+" sheetId="9" r:id="rId9"/>
    <sheet name="Bank Score 30+" sheetId="10" r:id="rId10"/>
    <sheet name="Bank Score 35+" sheetId="11" r:id="rId11"/>
    <sheet name="Bank Score 40+" sheetId="12" r:id="rId12"/>
    <sheet name="Cumulative Odds 70%" sheetId="13" r:id="rId13"/>
    <sheet name="Cumulative Odds 60%" sheetId="14" r:id="rId14"/>
    <sheet name="Cumulative Odds 50%" sheetId="15" r:id="rId15"/>
    <sheet name="Cumulative Odds 40%" sheetId="16" r:id="rId16"/>
    <sheet name="Cumulative Odds 30%" sheetId="17" r:id="rId17"/>
    <sheet name="Individual Odds 10%" sheetId="18" r:id="rId18"/>
    <sheet name="Individual Odds 20%" sheetId="19" r:id="rId19"/>
    <sheet name="Individual Odds 30%" sheetId="20" r:id="rId20"/>
    <sheet name="Individual Odds 40%" sheetId="21" r:id="rId21"/>
  </sheets>
  <externalReferences>
    <externalReference r:id="rId22"/>
  </externalReferences>
  <definedNames>
    <definedName name="_xlnm._FilterDatabase" localSheetId="0" hidden="1">'Master Data'!$C$62:$G$62</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16" i="1" l="1"/>
  <c r="D217" i="1"/>
  <c r="D218" i="1" s="1"/>
  <c r="F216" i="1"/>
  <c r="G216" i="1"/>
  <c r="H216" i="1"/>
  <c r="F217" i="1"/>
  <c r="F218" i="1" s="1"/>
  <c r="G217" i="1"/>
  <c r="G218" i="1" s="1"/>
  <c r="H217" i="1"/>
  <c r="H218" i="1" s="1"/>
  <c r="E217" i="1"/>
  <c r="E218" i="1" s="1"/>
  <c r="E216" i="1"/>
  <c r="I175" i="1"/>
  <c r="I176" i="1"/>
  <c r="I177" i="1"/>
  <c r="I178" i="1"/>
  <c r="I179" i="1"/>
  <c r="I180" i="1"/>
  <c r="I181" i="1"/>
  <c r="I182" i="1"/>
  <c r="I183" i="1"/>
  <c r="I184" i="1"/>
  <c r="I185" i="1"/>
  <c r="I186" i="1"/>
  <c r="I187" i="1"/>
  <c r="I188" i="1"/>
  <c r="I174" i="1"/>
  <c r="AE115" i="20"/>
  <c r="AF115" i="20" s="1"/>
  <c r="AD115" i="20"/>
  <c r="AC115" i="20"/>
  <c r="AE114" i="20"/>
  <c r="AD114" i="20"/>
  <c r="AC114" i="20"/>
  <c r="AE113" i="20"/>
  <c r="AD113" i="20"/>
  <c r="AC113" i="20"/>
  <c r="AE112" i="20"/>
  <c r="AD112" i="20"/>
  <c r="AC112" i="20"/>
  <c r="AE111" i="20"/>
  <c r="AD111" i="20"/>
  <c r="AC111" i="20"/>
  <c r="AE110" i="20"/>
  <c r="AD110" i="20"/>
  <c r="AC110" i="20"/>
  <c r="AE109" i="20"/>
  <c r="AD109" i="20"/>
  <c r="AF109" i="20" s="1"/>
  <c r="AC109" i="20"/>
  <c r="AG109" i="20" s="1"/>
  <c r="AE108" i="20"/>
  <c r="AD108" i="20"/>
  <c r="AC108" i="20"/>
  <c r="AE107" i="20"/>
  <c r="AF107" i="20" s="1"/>
  <c r="AD107" i="20"/>
  <c r="AC107" i="20"/>
  <c r="AE106" i="20"/>
  <c r="AD106" i="20"/>
  <c r="AF106" i="20" s="1"/>
  <c r="AC106" i="20"/>
  <c r="AE105" i="20"/>
  <c r="AD105" i="20"/>
  <c r="AC105" i="20"/>
  <c r="AE104" i="20"/>
  <c r="AD104" i="20"/>
  <c r="AC104" i="20"/>
  <c r="AE103" i="20"/>
  <c r="AD103" i="20"/>
  <c r="AC103" i="20"/>
  <c r="AE102" i="20"/>
  <c r="AF102" i="20" s="1"/>
  <c r="AD102" i="20"/>
  <c r="AC102" i="20"/>
  <c r="AE101" i="20"/>
  <c r="AD101" i="20"/>
  <c r="AC101" i="20"/>
  <c r="AE100" i="20"/>
  <c r="AD100" i="20"/>
  <c r="AC100" i="20"/>
  <c r="AE99" i="20"/>
  <c r="AD99" i="20"/>
  <c r="AC99" i="20"/>
  <c r="AE98" i="20"/>
  <c r="AD98" i="20"/>
  <c r="AC98" i="20"/>
  <c r="AE97" i="20"/>
  <c r="AD97" i="20"/>
  <c r="AC97" i="20"/>
  <c r="AE96" i="20"/>
  <c r="AD96" i="20"/>
  <c r="AF96" i="20" s="1"/>
  <c r="AC96" i="20"/>
  <c r="AE95" i="20"/>
  <c r="AD95" i="20"/>
  <c r="AC95" i="20"/>
  <c r="AE94" i="20"/>
  <c r="AD94" i="20"/>
  <c r="AC94" i="20"/>
  <c r="AE93" i="20"/>
  <c r="AD93" i="20"/>
  <c r="AF93" i="20" s="1"/>
  <c r="AC93" i="20"/>
  <c r="AE92" i="20"/>
  <c r="AD92" i="20"/>
  <c r="AC92" i="20"/>
  <c r="AE91" i="20"/>
  <c r="AF91" i="20" s="1"/>
  <c r="AD91" i="20"/>
  <c r="AC91" i="20"/>
  <c r="AE90" i="20"/>
  <c r="AD90" i="20"/>
  <c r="AC90" i="20"/>
  <c r="AE89" i="20"/>
  <c r="AD89" i="20"/>
  <c r="AC89" i="20"/>
  <c r="AE88" i="20"/>
  <c r="AD88" i="20"/>
  <c r="AF88" i="20" s="1"/>
  <c r="AC88" i="20"/>
  <c r="AE87" i="20"/>
  <c r="AD87" i="20"/>
  <c r="AF87" i="20" s="1"/>
  <c r="AC87" i="20"/>
  <c r="AE86" i="20"/>
  <c r="AD86" i="20"/>
  <c r="AC86" i="20"/>
  <c r="AE85" i="20"/>
  <c r="AD85" i="20"/>
  <c r="AC85" i="20"/>
  <c r="AE84" i="20"/>
  <c r="AF84" i="20" s="1"/>
  <c r="AD84" i="20"/>
  <c r="AC84" i="20"/>
  <c r="AE83" i="20"/>
  <c r="AD83" i="20"/>
  <c r="AC83" i="20"/>
  <c r="AE82" i="20"/>
  <c r="AD82" i="20"/>
  <c r="AC82" i="20"/>
  <c r="AE81" i="20"/>
  <c r="AD81" i="20"/>
  <c r="AC81" i="20"/>
  <c r="AE80" i="20"/>
  <c r="AD80" i="20"/>
  <c r="AC80" i="20"/>
  <c r="AE79" i="20"/>
  <c r="AD79" i="20"/>
  <c r="AF79" i="20" s="1"/>
  <c r="AG79" i="20" s="1"/>
  <c r="AC79" i="20"/>
  <c r="AE78" i="20"/>
  <c r="AF78" i="20" s="1"/>
  <c r="AD78" i="20"/>
  <c r="AC78" i="20"/>
  <c r="AE77" i="20"/>
  <c r="AD77" i="20"/>
  <c r="AC77" i="20"/>
  <c r="AE76" i="20"/>
  <c r="AD76" i="20"/>
  <c r="AC76" i="20"/>
  <c r="AE75" i="20"/>
  <c r="AD75" i="20"/>
  <c r="AC75" i="20"/>
  <c r="AE74" i="20"/>
  <c r="AD74" i="20"/>
  <c r="AC74" i="20"/>
  <c r="AE73" i="20"/>
  <c r="AD73" i="20"/>
  <c r="AC73" i="20"/>
  <c r="AE72" i="20"/>
  <c r="AD72" i="20"/>
  <c r="AF72" i="20" s="1"/>
  <c r="AC72" i="20"/>
  <c r="AE71" i="20"/>
  <c r="AD71" i="20"/>
  <c r="AF71" i="20" s="1"/>
  <c r="AG71" i="20" s="1"/>
  <c r="AC71" i="20"/>
  <c r="AE70" i="20"/>
  <c r="AD70" i="20"/>
  <c r="AC70" i="20"/>
  <c r="AE69" i="20"/>
  <c r="AD69" i="20"/>
  <c r="AC69" i="20"/>
  <c r="AE68" i="20"/>
  <c r="AF68" i="20" s="1"/>
  <c r="AD68" i="20"/>
  <c r="AC68" i="20"/>
  <c r="AE67" i="20"/>
  <c r="AD67" i="20"/>
  <c r="AC67" i="20"/>
  <c r="AE66" i="20"/>
  <c r="AD66" i="20"/>
  <c r="AC66" i="20"/>
  <c r="AE65" i="20"/>
  <c r="AD65" i="20"/>
  <c r="AC65" i="20"/>
  <c r="AE64" i="20"/>
  <c r="AD64" i="20"/>
  <c r="AC64" i="20"/>
  <c r="AE63" i="20"/>
  <c r="AD63" i="20"/>
  <c r="AC63" i="20"/>
  <c r="AE62" i="20"/>
  <c r="AD62" i="20"/>
  <c r="AC62" i="20"/>
  <c r="AE61" i="20"/>
  <c r="AD61" i="20"/>
  <c r="AF61" i="20" s="1"/>
  <c r="AC61" i="20"/>
  <c r="AE60" i="20"/>
  <c r="AD60" i="20"/>
  <c r="AC60" i="20"/>
  <c r="AE59" i="20"/>
  <c r="AD59" i="20"/>
  <c r="AC59" i="20"/>
  <c r="AE58" i="20"/>
  <c r="AD58" i="20"/>
  <c r="AC58" i="20"/>
  <c r="AE57" i="20"/>
  <c r="AD57" i="20"/>
  <c r="AC57" i="20"/>
  <c r="AE56" i="20"/>
  <c r="AD56" i="20"/>
  <c r="AC56" i="20"/>
  <c r="AE55" i="20"/>
  <c r="AD55" i="20"/>
  <c r="AF55" i="20" s="1"/>
  <c r="AC55" i="20"/>
  <c r="AE54" i="20"/>
  <c r="AD54" i="20"/>
  <c r="AC54" i="20"/>
  <c r="AE53" i="20"/>
  <c r="AD53" i="20"/>
  <c r="AC53" i="20"/>
  <c r="AE52" i="20"/>
  <c r="AD52" i="20"/>
  <c r="AC52" i="20"/>
  <c r="AE51" i="20"/>
  <c r="AD51" i="20"/>
  <c r="AC51" i="20"/>
  <c r="AE50" i="20"/>
  <c r="AD50" i="20"/>
  <c r="AC50" i="20"/>
  <c r="AE49" i="20"/>
  <c r="AD49" i="20"/>
  <c r="AC49" i="20"/>
  <c r="AE48" i="20"/>
  <c r="AD48" i="20"/>
  <c r="AC48" i="20"/>
  <c r="AE47" i="20"/>
  <c r="AD47" i="20"/>
  <c r="AC47" i="20"/>
  <c r="AE46" i="20"/>
  <c r="AD46" i="20"/>
  <c r="AC46" i="20"/>
  <c r="AE45" i="20"/>
  <c r="AD45" i="20"/>
  <c r="AC45" i="20"/>
  <c r="AE44" i="20"/>
  <c r="AD44" i="20"/>
  <c r="AC44" i="20"/>
  <c r="AE43" i="20"/>
  <c r="AD43" i="20"/>
  <c r="AC43" i="20"/>
  <c r="AE42" i="20"/>
  <c r="AD42" i="20"/>
  <c r="AC42" i="20"/>
  <c r="AE41" i="20"/>
  <c r="AD41" i="20"/>
  <c r="AC41" i="20"/>
  <c r="AE40" i="20"/>
  <c r="AD40" i="20"/>
  <c r="AF40" i="20" s="1"/>
  <c r="AC40" i="20"/>
  <c r="AE39" i="20"/>
  <c r="AF39" i="20" s="1"/>
  <c r="AD39" i="20"/>
  <c r="AC39" i="20"/>
  <c r="AE38" i="20"/>
  <c r="AD38" i="20"/>
  <c r="AC38" i="20"/>
  <c r="AE37" i="20"/>
  <c r="AD37" i="20"/>
  <c r="AC37" i="20"/>
  <c r="AE36" i="20"/>
  <c r="AD36" i="20"/>
  <c r="AC36" i="20"/>
  <c r="AE35" i="20"/>
  <c r="AD35" i="20"/>
  <c r="AC35" i="20"/>
  <c r="AE34" i="20"/>
  <c r="AD34" i="20"/>
  <c r="AC34" i="20"/>
  <c r="AE33" i="20"/>
  <c r="AD33" i="20"/>
  <c r="AC33" i="20"/>
  <c r="AE32" i="20"/>
  <c r="AD32" i="20"/>
  <c r="AC32" i="20"/>
  <c r="AE31" i="20"/>
  <c r="AD31" i="20"/>
  <c r="AC31" i="20"/>
  <c r="AE30" i="20"/>
  <c r="AD30" i="20"/>
  <c r="AC30" i="20"/>
  <c r="AE29" i="20"/>
  <c r="AD29" i="20"/>
  <c r="AC29" i="20"/>
  <c r="AE28" i="20"/>
  <c r="AD28" i="20"/>
  <c r="AC28" i="20"/>
  <c r="AE27" i="20"/>
  <c r="AD27" i="20"/>
  <c r="AC27" i="20"/>
  <c r="AE26" i="20"/>
  <c r="AD26" i="20"/>
  <c r="AC26" i="20"/>
  <c r="AE25" i="20"/>
  <c r="AD25" i="20"/>
  <c r="AC25" i="20"/>
  <c r="AE24" i="20"/>
  <c r="AD24" i="20"/>
  <c r="AC24" i="20"/>
  <c r="AE23" i="20"/>
  <c r="AD23" i="20"/>
  <c r="AC23" i="20"/>
  <c r="AE22" i="20"/>
  <c r="AF22" i="20" s="1"/>
  <c r="AD22" i="20"/>
  <c r="AC22" i="20"/>
  <c r="AE21" i="20"/>
  <c r="AD21" i="20"/>
  <c r="AC21" i="20"/>
  <c r="AE20" i="20"/>
  <c r="AD20" i="20"/>
  <c r="AC20" i="20"/>
  <c r="AE19" i="20"/>
  <c r="AD19" i="20"/>
  <c r="AC19" i="20"/>
  <c r="AE18" i="20"/>
  <c r="AD18" i="20"/>
  <c r="AF18" i="20" s="1"/>
  <c r="AC18" i="20"/>
  <c r="AE17" i="20"/>
  <c r="AD17" i="20"/>
  <c r="AC17" i="20"/>
  <c r="AE16" i="20"/>
  <c r="AD16" i="20"/>
  <c r="AC16" i="20"/>
  <c r="AE115" i="19"/>
  <c r="AD115" i="19"/>
  <c r="AC115" i="19"/>
  <c r="AE114" i="19"/>
  <c r="AD114" i="19"/>
  <c r="AC114" i="19"/>
  <c r="AE113" i="19"/>
  <c r="AD113" i="19"/>
  <c r="AC113" i="19"/>
  <c r="AE112" i="19"/>
  <c r="AD112" i="19"/>
  <c r="AF112" i="19" s="1"/>
  <c r="AC112" i="19"/>
  <c r="AE111" i="19"/>
  <c r="AD111" i="19"/>
  <c r="AC111" i="19"/>
  <c r="AE110" i="19"/>
  <c r="AD110" i="19"/>
  <c r="AF110" i="19" s="1"/>
  <c r="AC110" i="19"/>
  <c r="AE109" i="19"/>
  <c r="AF109" i="19" s="1"/>
  <c r="AD109" i="19"/>
  <c r="AC109" i="19"/>
  <c r="AE108" i="19"/>
  <c r="AD108" i="19"/>
  <c r="AF108" i="19" s="1"/>
  <c r="AC108" i="19"/>
  <c r="AE107" i="19"/>
  <c r="AD107" i="19"/>
  <c r="AC107" i="19"/>
  <c r="AE106" i="19"/>
  <c r="AF106" i="19" s="1"/>
  <c r="AG106" i="19" s="1"/>
  <c r="AD106" i="19"/>
  <c r="AC106" i="19"/>
  <c r="AE105" i="19"/>
  <c r="AD105" i="19"/>
  <c r="AC105" i="19"/>
  <c r="AE104" i="19"/>
  <c r="AD104" i="19"/>
  <c r="AC104" i="19"/>
  <c r="AE103" i="19"/>
  <c r="AD103" i="19"/>
  <c r="AF103" i="19" s="1"/>
  <c r="AC103" i="19"/>
  <c r="AG103" i="19" s="1"/>
  <c r="AE102" i="19"/>
  <c r="AD102" i="19"/>
  <c r="AC102" i="19"/>
  <c r="AE101" i="19"/>
  <c r="AD101" i="19"/>
  <c r="AC101" i="19"/>
  <c r="AE100" i="19"/>
  <c r="AD100" i="19"/>
  <c r="AF100" i="19" s="1"/>
  <c r="AC100" i="19"/>
  <c r="AE99" i="19"/>
  <c r="AD99" i="19"/>
  <c r="AC99" i="19"/>
  <c r="AE98" i="19"/>
  <c r="AD98" i="19"/>
  <c r="AC98" i="19"/>
  <c r="AE97" i="19"/>
  <c r="AD97" i="19"/>
  <c r="AC97" i="19"/>
  <c r="AE96" i="19"/>
  <c r="AD96" i="19"/>
  <c r="AC96" i="19"/>
  <c r="AE95" i="19"/>
  <c r="AD95" i="19"/>
  <c r="AC95" i="19"/>
  <c r="AE94" i="19"/>
  <c r="AD94" i="19"/>
  <c r="AC94" i="19"/>
  <c r="AE93" i="19"/>
  <c r="AD93" i="19"/>
  <c r="AC93" i="19"/>
  <c r="AE92" i="19"/>
  <c r="AD92" i="19"/>
  <c r="AF92" i="19" s="1"/>
  <c r="AC92" i="19"/>
  <c r="AE91" i="19"/>
  <c r="AD91" i="19"/>
  <c r="AC91" i="19"/>
  <c r="AE90" i="19"/>
  <c r="AD90" i="19"/>
  <c r="AC90" i="19"/>
  <c r="AE89" i="19"/>
  <c r="AD89" i="19"/>
  <c r="AC89" i="19"/>
  <c r="AE88" i="19"/>
  <c r="AD88" i="19"/>
  <c r="AC88" i="19"/>
  <c r="AE87" i="19"/>
  <c r="AD87" i="19"/>
  <c r="AC87" i="19"/>
  <c r="AE86" i="19"/>
  <c r="AD86" i="19"/>
  <c r="AC86" i="19"/>
  <c r="AE85" i="19"/>
  <c r="AD85" i="19"/>
  <c r="AC85" i="19"/>
  <c r="AE84" i="19"/>
  <c r="AD84" i="19"/>
  <c r="AF84" i="19" s="1"/>
  <c r="AC84" i="19"/>
  <c r="AE83" i="19"/>
  <c r="AD83" i="19"/>
  <c r="AF83" i="19" s="1"/>
  <c r="AC83" i="19"/>
  <c r="AE82" i="19"/>
  <c r="AD82" i="19"/>
  <c r="AC82" i="19"/>
  <c r="AE81" i="19"/>
  <c r="AD81" i="19"/>
  <c r="AC81" i="19"/>
  <c r="AE80" i="19"/>
  <c r="AD80" i="19"/>
  <c r="AC80" i="19"/>
  <c r="AE79" i="19"/>
  <c r="AD79" i="19"/>
  <c r="AC79" i="19"/>
  <c r="AE78" i="19"/>
  <c r="AD78" i="19"/>
  <c r="AC78" i="19"/>
  <c r="AE77" i="19"/>
  <c r="AD77" i="19"/>
  <c r="AC77" i="19"/>
  <c r="AE76" i="19"/>
  <c r="AD76" i="19"/>
  <c r="AF76" i="19" s="1"/>
  <c r="AC76" i="19"/>
  <c r="AE75" i="19"/>
  <c r="AD75" i="19"/>
  <c r="AF75" i="19" s="1"/>
  <c r="AC75" i="19"/>
  <c r="AE74" i="19"/>
  <c r="AD74" i="19"/>
  <c r="AC74" i="19"/>
  <c r="AE73" i="19"/>
  <c r="AD73" i="19"/>
  <c r="AC73" i="19"/>
  <c r="AE72" i="19"/>
  <c r="AD72" i="19"/>
  <c r="AC72" i="19"/>
  <c r="AE71" i="19"/>
  <c r="AD71" i="19"/>
  <c r="AC71" i="19"/>
  <c r="AE70" i="19"/>
  <c r="AD70" i="19"/>
  <c r="AC70" i="19"/>
  <c r="AE69" i="19"/>
  <c r="AD69" i="19"/>
  <c r="AC69" i="19"/>
  <c r="AE68" i="19"/>
  <c r="AD68" i="19"/>
  <c r="AF68" i="19" s="1"/>
  <c r="AC68" i="19"/>
  <c r="AE67" i="19"/>
  <c r="AD67" i="19"/>
  <c r="AF67" i="19" s="1"/>
  <c r="AC67" i="19"/>
  <c r="AE66" i="19"/>
  <c r="AD66" i="19"/>
  <c r="AC66" i="19"/>
  <c r="AE65" i="19"/>
  <c r="AD65" i="19"/>
  <c r="AC65" i="19"/>
  <c r="AE64" i="19"/>
  <c r="AD64" i="19"/>
  <c r="AC64" i="19"/>
  <c r="AE63" i="19"/>
  <c r="AD63" i="19"/>
  <c r="AC63" i="19"/>
  <c r="AE62" i="19"/>
  <c r="AD62" i="19"/>
  <c r="AC62" i="19"/>
  <c r="AE61" i="19"/>
  <c r="AD61" i="19"/>
  <c r="AC61" i="19"/>
  <c r="AE60" i="19"/>
  <c r="AD60" i="19"/>
  <c r="AF60" i="19" s="1"/>
  <c r="AC60" i="19"/>
  <c r="AE59" i="19"/>
  <c r="AD59" i="19"/>
  <c r="AF59" i="19" s="1"/>
  <c r="AC59" i="19"/>
  <c r="AE58" i="19"/>
  <c r="AD58" i="19"/>
  <c r="AC58" i="19"/>
  <c r="AE57" i="19"/>
  <c r="AD57" i="19"/>
  <c r="AC57" i="19"/>
  <c r="AE56" i="19"/>
  <c r="AD56" i="19"/>
  <c r="AC56" i="19"/>
  <c r="AE55" i="19"/>
  <c r="AD55" i="19"/>
  <c r="AC55" i="19"/>
  <c r="AE54" i="19"/>
  <c r="AD54" i="19"/>
  <c r="AC54" i="19"/>
  <c r="AE53" i="19"/>
  <c r="AD53" i="19"/>
  <c r="AC53" i="19"/>
  <c r="AE52" i="19"/>
  <c r="AD52" i="19"/>
  <c r="AF52" i="19" s="1"/>
  <c r="AC52" i="19"/>
  <c r="AE51" i="19"/>
  <c r="AD51" i="19"/>
  <c r="AF51" i="19" s="1"/>
  <c r="AC51" i="19"/>
  <c r="AE50" i="19"/>
  <c r="AF50" i="19" s="1"/>
  <c r="AG50" i="19" s="1"/>
  <c r="AD50" i="19"/>
  <c r="AC50" i="19"/>
  <c r="AE49" i="19"/>
  <c r="AD49" i="19"/>
  <c r="AC49" i="19"/>
  <c r="AE48" i="19"/>
  <c r="AD48" i="19"/>
  <c r="AC48" i="19"/>
  <c r="AE47" i="19"/>
  <c r="AF47" i="19" s="1"/>
  <c r="AD47" i="19"/>
  <c r="AC47" i="19"/>
  <c r="AG47" i="19" s="1"/>
  <c r="AE46" i="19"/>
  <c r="AD46" i="19"/>
  <c r="AC46" i="19"/>
  <c r="AE45" i="19"/>
  <c r="AD45" i="19"/>
  <c r="AC45" i="19"/>
  <c r="AE44" i="19"/>
  <c r="AD44" i="19"/>
  <c r="AF44" i="19" s="1"/>
  <c r="AC44" i="19"/>
  <c r="AE43" i="19"/>
  <c r="AD43" i="19"/>
  <c r="AC43" i="19"/>
  <c r="AE42" i="19"/>
  <c r="AD42" i="19"/>
  <c r="AC42" i="19"/>
  <c r="AE41" i="19"/>
  <c r="AD41" i="19"/>
  <c r="AC41" i="19"/>
  <c r="AE40" i="19"/>
  <c r="AD40" i="19"/>
  <c r="AC40" i="19"/>
  <c r="AE39" i="19"/>
  <c r="AD39" i="19"/>
  <c r="AC39" i="19"/>
  <c r="AE38" i="19"/>
  <c r="AD38" i="19"/>
  <c r="AC38" i="19"/>
  <c r="AE37" i="19"/>
  <c r="AD37" i="19"/>
  <c r="AC37" i="19"/>
  <c r="AE36" i="19"/>
  <c r="AD36" i="19"/>
  <c r="AC36" i="19"/>
  <c r="AE35" i="19"/>
  <c r="AD35" i="19"/>
  <c r="AC35" i="19"/>
  <c r="AE34" i="19"/>
  <c r="AD34" i="19"/>
  <c r="AC34" i="19"/>
  <c r="AE33" i="19"/>
  <c r="AD33" i="19"/>
  <c r="AC33" i="19"/>
  <c r="AE32" i="19"/>
  <c r="AD32" i="19"/>
  <c r="AC32" i="19"/>
  <c r="AE31" i="19"/>
  <c r="AD31" i="19"/>
  <c r="AC31" i="19"/>
  <c r="AE30" i="19"/>
  <c r="AD30" i="19"/>
  <c r="AC30" i="19"/>
  <c r="AE29" i="19"/>
  <c r="AD29" i="19"/>
  <c r="AC29" i="19"/>
  <c r="AE28" i="19"/>
  <c r="AD28" i="19"/>
  <c r="AC28" i="19"/>
  <c r="AE27" i="19"/>
  <c r="AD27" i="19"/>
  <c r="AC27" i="19"/>
  <c r="AE26" i="19"/>
  <c r="AD26" i="19"/>
  <c r="AC26" i="19"/>
  <c r="AE25" i="19"/>
  <c r="AD25" i="19"/>
  <c r="AC25" i="19"/>
  <c r="AE24" i="19"/>
  <c r="AD24" i="19"/>
  <c r="AF24" i="19" s="1"/>
  <c r="AC24" i="19"/>
  <c r="AE23" i="19"/>
  <c r="AD23" i="19"/>
  <c r="AC23" i="19"/>
  <c r="AE22" i="19"/>
  <c r="AD22" i="19"/>
  <c r="AC22" i="19"/>
  <c r="AE21" i="19"/>
  <c r="AD21" i="19"/>
  <c r="AC21" i="19"/>
  <c r="AE20" i="19"/>
  <c r="AD20" i="19"/>
  <c r="AF20" i="19" s="1"/>
  <c r="AC20" i="19"/>
  <c r="AE19" i="19"/>
  <c r="AD19" i="19"/>
  <c r="AC19" i="19"/>
  <c r="AE18" i="19"/>
  <c r="AD18" i="19"/>
  <c r="AC18" i="19"/>
  <c r="AE17" i="19"/>
  <c r="AD17" i="19"/>
  <c r="AC17" i="19"/>
  <c r="AE16" i="19"/>
  <c r="AD16" i="19"/>
  <c r="AC16" i="19"/>
  <c r="G81" i="1"/>
  <c r="G78" i="1"/>
  <c r="G75" i="1"/>
  <c r="G71" i="1"/>
  <c r="G69" i="1"/>
  <c r="G63" i="1"/>
  <c r="F63" i="1"/>
  <c r="F81" i="1"/>
  <c r="F78" i="1"/>
  <c r="F75" i="1"/>
  <c r="F71" i="1"/>
  <c r="F69" i="1"/>
  <c r="E81" i="1"/>
  <c r="E78" i="1"/>
  <c r="E75" i="1"/>
  <c r="E71" i="1"/>
  <c r="E69" i="1"/>
  <c r="E63" i="1"/>
  <c r="D81" i="1"/>
  <c r="D78" i="1"/>
  <c r="D75" i="1"/>
  <c r="D71" i="1"/>
  <c r="D69" i="1"/>
  <c r="D63" i="1"/>
  <c r="F64" i="1"/>
  <c r="G64" i="1"/>
  <c r="E64" i="1"/>
  <c r="D64" i="1"/>
  <c r="AE115" i="8"/>
  <c r="AD115" i="8"/>
  <c r="AC115" i="8"/>
  <c r="AE114" i="8"/>
  <c r="AD114" i="8"/>
  <c r="AC114" i="8"/>
  <c r="AE113" i="8"/>
  <c r="AD113" i="8"/>
  <c r="AC113" i="8"/>
  <c r="AE112" i="8"/>
  <c r="AD112" i="8"/>
  <c r="AC112" i="8"/>
  <c r="AE111" i="8"/>
  <c r="AD111" i="8"/>
  <c r="AC111" i="8"/>
  <c r="AE110" i="8"/>
  <c r="AD110" i="8"/>
  <c r="AC110" i="8"/>
  <c r="AE109" i="8"/>
  <c r="AD109" i="8"/>
  <c r="AC109" i="8"/>
  <c r="AE108" i="8"/>
  <c r="AD108" i="8"/>
  <c r="AF108" i="8" s="1"/>
  <c r="AG108" i="8" s="1"/>
  <c r="AC108" i="8"/>
  <c r="AE107" i="8"/>
  <c r="AD107" i="8"/>
  <c r="AC107" i="8"/>
  <c r="AE106" i="8"/>
  <c r="AD106" i="8"/>
  <c r="AC106" i="8"/>
  <c r="AE105" i="8"/>
  <c r="AD105" i="8"/>
  <c r="AC105" i="8"/>
  <c r="AE104" i="8"/>
  <c r="AD104" i="8"/>
  <c r="AC104" i="8"/>
  <c r="AE103" i="8"/>
  <c r="AD103" i="8"/>
  <c r="AC103" i="8"/>
  <c r="AE102" i="8"/>
  <c r="AF102" i="8" s="1"/>
  <c r="AG102" i="8" s="1"/>
  <c r="AD102" i="8"/>
  <c r="AC102" i="8"/>
  <c r="AE101" i="8"/>
  <c r="AD101" i="8"/>
  <c r="AF101" i="8" s="1"/>
  <c r="AC101" i="8"/>
  <c r="AE100" i="8"/>
  <c r="AD100" i="8"/>
  <c r="AC100" i="8"/>
  <c r="AE99" i="8"/>
  <c r="AD99" i="8"/>
  <c r="AC99" i="8"/>
  <c r="AE98" i="8"/>
  <c r="AD98" i="8"/>
  <c r="AC98" i="8"/>
  <c r="AE97" i="8"/>
  <c r="AD97" i="8"/>
  <c r="AC97" i="8"/>
  <c r="AE96" i="8"/>
  <c r="AD96" i="8"/>
  <c r="AC96" i="8"/>
  <c r="AE95" i="8"/>
  <c r="AD95" i="8"/>
  <c r="AC95" i="8"/>
  <c r="AE94" i="8"/>
  <c r="AD94" i="8"/>
  <c r="AC94" i="8"/>
  <c r="AE93" i="8"/>
  <c r="AD93" i="8"/>
  <c r="AC93" i="8"/>
  <c r="AE92" i="8"/>
  <c r="AD92" i="8"/>
  <c r="AF92" i="8" s="1"/>
  <c r="AG92" i="8" s="1"/>
  <c r="AC92" i="8"/>
  <c r="AE91" i="8"/>
  <c r="AD91" i="8"/>
  <c r="AC91" i="8"/>
  <c r="AE90" i="8"/>
  <c r="AD90" i="8"/>
  <c r="AC90" i="8"/>
  <c r="AF89" i="8"/>
  <c r="AG89" i="8" s="1"/>
  <c r="AE89" i="8"/>
  <c r="AD89" i="8"/>
  <c r="AC89" i="8"/>
  <c r="AE88" i="8"/>
  <c r="AD88" i="8"/>
  <c r="AC88" i="8"/>
  <c r="AE87" i="8"/>
  <c r="AD87" i="8"/>
  <c r="AF87" i="8" s="1"/>
  <c r="AC87" i="8"/>
  <c r="AE86" i="8"/>
  <c r="AD86" i="8"/>
  <c r="AC86" i="8"/>
  <c r="AE85" i="8"/>
  <c r="AD85" i="8"/>
  <c r="AC85" i="8"/>
  <c r="AE84" i="8"/>
  <c r="AD84" i="8"/>
  <c r="AC84" i="8"/>
  <c r="AE83" i="8"/>
  <c r="AD83" i="8"/>
  <c r="AC83" i="8"/>
  <c r="AE82" i="8"/>
  <c r="AD82" i="8"/>
  <c r="AC82" i="8"/>
  <c r="AE81" i="8"/>
  <c r="AF81" i="8" s="1"/>
  <c r="AG81" i="8" s="1"/>
  <c r="AD81" i="8"/>
  <c r="AC81" i="8"/>
  <c r="AE80" i="8"/>
  <c r="AD80" i="8"/>
  <c r="AF80" i="8" s="1"/>
  <c r="AC80" i="8"/>
  <c r="AE79" i="8"/>
  <c r="AD79" i="8"/>
  <c r="AC79" i="8"/>
  <c r="AE78" i="8"/>
  <c r="AD78" i="8"/>
  <c r="AC78" i="8"/>
  <c r="AE77" i="8"/>
  <c r="AD77" i="8"/>
  <c r="AC77" i="8"/>
  <c r="AE76" i="8"/>
  <c r="AD76" i="8"/>
  <c r="AC76" i="8"/>
  <c r="AE75" i="8"/>
  <c r="AD75" i="8"/>
  <c r="AC75" i="8"/>
  <c r="AE74" i="8"/>
  <c r="AD74" i="8"/>
  <c r="AF74" i="8" s="1"/>
  <c r="AC74" i="8"/>
  <c r="AE73" i="8"/>
  <c r="AD73" i="8"/>
  <c r="AC73" i="8"/>
  <c r="AE72" i="8"/>
  <c r="AD72" i="8"/>
  <c r="AC72" i="8"/>
  <c r="AE71" i="8"/>
  <c r="AD71" i="8"/>
  <c r="AF71" i="8" s="1"/>
  <c r="AG71" i="8" s="1"/>
  <c r="AC71" i="8"/>
  <c r="AE70" i="8"/>
  <c r="AF70" i="8" s="1"/>
  <c r="AD70" i="8"/>
  <c r="AC70" i="8"/>
  <c r="AE69" i="8"/>
  <c r="AD69" i="8"/>
  <c r="AC69" i="8"/>
  <c r="AE68" i="8"/>
  <c r="AF68" i="8" s="1"/>
  <c r="AD68" i="8"/>
  <c r="AC68" i="8"/>
  <c r="AE67" i="8"/>
  <c r="AD67" i="8"/>
  <c r="AC67" i="8"/>
  <c r="AE66" i="8"/>
  <c r="AD66" i="8"/>
  <c r="AC66" i="8"/>
  <c r="AE65" i="8"/>
  <c r="AD65" i="8"/>
  <c r="AC65" i="8"/>
  <c r="AE64" i="8"/>
  <c r="AD64" i="8"/>
  <c r="AF64" i="8" s="1"/>
  <c r="AC64" i="8"/>
  <c r="AE63" i="8"/>
  <c r="AD63" i="8"/>
  <c r="AC63" i="8"/>
  <c r="AE62" i="8"/>
  <c r="AD62" i="8"/>
  <c r="AC62" i="8"/>
  <c r="AE61" i="8"/>
  <c r="AD61" i="8"/>
  <c r="AC61" i="8"/>
  <c r="AE60" i="8"/>
  <c r="AD60" i="8"/>
  <c r="AC60" i="8"/>
  <c r="AE59" i="8"/>
  <c r="AD59" i="8"/>
  <c r="AC59" i="8"/>
  <c r="AE58" i="8"/>
  <c r="AD58" i="8"/>
  <c r="AC58" i="8"/>
  <c r="AE57" i="8"/>
  <c r="AD57" i="8"/>
  <c r="AC57" i="8"/>
  <c r="AE56" i="8"/>
  <c r="AD56" i="8"/>
  <c r="AC56" i="8"/>
  <c r="AE55" i="8"/>
  <c r="AD55" i="8"/>
  <c r="AF55" i="8" s="1"/>
  <c r="AG55" i="8" s="1"/>
  <c r="AC55" i="8"/>
  <c r="AE54" i="8"/>
  <c r="AF54" i="8" s="1"/>
  <c r="AG54" i="8" s="1"/>
  <c r="AD54" i="8"/>
  <c r="AC54" i="8"/>
  <c r="AE53" i="8"/>
  <c r="AD53" i="8"/>
  <c r="AC53" i="8"/>
  <c r="AE52" i="8"/>
  <c r="AD52" i="8"/>
  <c r="AC52" i="8"/>
  <c r="AE51" i="8"/>
  <c r="AD51" i="8"/>
  <c r="AC51" i="8"/>
  <c r="AE50" i="8"/>
  <c r="AD50" i="8"/>
  <c r="AC50" i="8"/>
  <c r="AE49" i="8"/>
  <c r="AF49" i="8" s="1"/>
  <c r="AG49" i="8" s="1"/>
  <c r="AD49" i="8"/>
  <c r="AC49" i="8"/>
  <c r="AE48" i="8"/>
  <c r="AD48" i="8"/>
  <c r="AC48" i="8"/>
  <c r="AE47" i="8"/>
  <c r="AD47" i="8"/>
  <c r="AC47" i="8"/>
  <c r="AE46" i="8"/>
  <c r="AD46" i="8"/>
  <c r="AC46" i="8"/>
  <c r="AE45" i="8"/>
  <c r="AD45" i="8"/>
  <c r="AC45" i="8"/>
  <c r="AE44" i="8"/>
  <c r="AD44" i="8"/>
  <c r="AC44" i="8"/>
  <c r="AE43" i="8"/>
  <c r="AD43" i="8"/>
  <c r="AC43" i="8"/>
  <c r="AE42" i="8"/>
  <c r="AD42" i="8"/>
  <c r="AC42" i="8"/>
  <c r="AF41" i="8"/>
  <c r="AG41" i="8" s="1"/>
  <c r="AE41" i="8"/>
  <c r="AD41" i="8"/>
  <c r="AC41" i="8"/>
  <c r="AE40" i="8"/>
  <c r="AD40" i="8"/>
  <c r="AC40" i="8"/>
  <c r="AE39" i="8"/>
  <c r="AD39" i="8"/>
  <c r="AC39" i="8"/>
  <c r="AE38" i="8"/>
  <c r="AF38" i="8" s="1"/>
  <c r="AD38" i="8"/>
  <c r="AC38" i="8"/>
  <c r="AE37" i="8"/>
  <c r="AD37" i="8"/>
  <c r="AC37" i="8"/>
  <c r="AE36" i="8"/>
  <c r="AD36" i="8"/>
  <c r="AC36" i="8"/>
  <c r="AE35" i="8"/>
  <c r="AD35" i="8"/>
  <c r="AF35" i="8" s="1"/>
  <c r="AG35" i="8" s="1"/>
  <c r="AC35" i="8"/>
  <c r="AE34" i="8"/>
  <c r="AD34" i="8"/>
  <c r="AC34" i="8"/>
  <c r="AE33" i="8"/>
  <c r="AD33" i="8"/>
  <c r="AC33" i="8"/>
  <c r="AE32" i="8"/>
  <c r="AD32" i="8"/>
  <c r="AC32" i="8"/>
  <c r="AE31" i="8"/>
  <c r="AD31" i="8"/>
  <c r="AC31" i="8"/>
  <c r="AE30" i="8"/>
  <c r="AD30" i="8"/>
  <c r="AC30" i="8"/>
  <c r="AE29" i="8"/>
  <c r="AD29" i="8"/>
  <c r="AC29" i="8"/>
  <c r="AE28" i="8"/>
  <c r="AD28" i="8"/>
  <c r="AC28" i="8"/>
  <c r="AE27" i="8"/>
  <c r="AD27" i="8"/>
  <c r="AC27" i="8"/>
  <c r="AE26" i="8"/>
  <c r="AD26" i="8"/>
  <c r="AF26" i="8" s="1"/>
  <c r="AC26" i="8"/>
  <c r="AE25" i="8"/>
  <c r="AD25" i="8"/>
  <c r="AC25" i="8"/>
  <c r="AE24" i="8"/>
  <c r="AD24" i="8"/>
  <c r="AC24" i="8"/>
  <c r="AE23" i="8"/>
  <c r="AD23" i="8"/>
  <c r="AC23" i="8"/>
  <c r="AE22" i="8"/>
  <c r="AF22" i="8" s="1"/>
  <c r="AD22" i="8"/>
  <c r="AC22" i="8"/>
  <c r="AE21" i="8"/>
  <c r="AD21" i="8"/>
  <c r="AF21" i="8" s="1"/>
  <c r="AC21" i="8"/>
  <c r="AE20" i="8"/>
  <c r="AD20" i="8"/>
  <c r="AC20" i="8"/>
  <c r="AE19" i="8"/>
  <c r="AD19" i="8"/>
  <c r="AF19" i="8" s="1"/>
  <c r="AC19" i="8"/>
  <c r="AE18" i="8"/>
  <c r="AD18" i="8"/>
  <c r="AC18" i="8"/>
  <c r="AE17" i="8"/>
  <c r="AF17" i="8" s="1"/>
  <c r="AG17" i="8" s="1"/>
  <c r="AD17" i="8"/>
  <c r="AC17" i="8"/>
  <c r="AE16" i="8"/>
  <c r="AD16" i="8"/>
  <c r="AC16" i="8"/>
  <c r="AE115" i="10"/>
  <c r="AD115" i="10"/>
  <c r="AC115" i="10"/>
  <c r="AE114" i="10"/>
  <c r="AD114" i="10"/>
  <c r="AC114" i="10"/>
  <c r="AE113" i="10"/>
  <c r="AD113" i="10"/>
  <c r="AC113" i="10"/>
  <c r="AE112" i="10"/>
  <c r="AD112" i="10"/>
  <c r="AC112" i="10"/>
  <c r="AE111" i="10"/>
  <c r="AD111" i="10"/>
  <c r="AF111" i="10" s="1"/>
  <c r="AC111" i="10"/>
  <c r="AE110" i="10"/>
  <c r="AD110" i="10"/>
  <c r="AC110" i="10"/>
  <c r="AE109" i="10"/>
  <c r="AD109" i="10"/>
  <c r="AF109" i="10" s="1"/>
  <c r="AC109" i="10"/>
  <c r="AE108" i="10"/>
  <c r="AD108" i="10"/>
  <c r="AC108" i="10"/>
  <c r="AE107" i="10"/>
  <c r="AD107" i="10"/>
  <c r="AC107" i="10"/>
  <c r="AE106" i="10"/>
  <c r="AD106" i="10"/>
  <c r="AC106" i="10"/>
  <c r="AE105" i="10"/>
  <c r="AD105" i="10"/>
  <c r="AC105" i="10"/>
  <c r="AE104" i="10"/>
  <c r="AD104" i="10"/>
  <c r="AC104" i="10"/>
  <c r="AE103" i="10"/>
  <c r="AD103" i="10"/>
  <c r="AF103" i="10" s="1"/>
  <c r="AC103" i="10"/>
  <c r="AE102" i="10"/>
  <c r="AD102" i="10"/>
  <c r="AC102" i="10"/>
  <c r="AE101" i="10"/>
  <c r="AD101" i="10"/>
  <c r="AC101" i="10"/>
  <c r="AE100" i="10"/>
  <c r="AD100" i="10"/>
  <c r="AC100" i="10"/>
  <c r="AE99" i="10"/>
  <c r="AD99" i="10"/>
  <c r="AC99" i="10"/>
  <c r="AE98" i="10"/>
  <c r="AD98" i="10"/>
  <c r="AC98" i="10"/>
  <c r="AE97" i="10"/>
  <c r="AD97" i="10"/>
  <c r="AC97" i="10"/>
  <c r="AE96" i="10"/>
  <c r="AD96" i="10"/>
  <c r="AC96" i="10"/>
  <c r="AE95" i="10"/>
  <c r="AD95" i="10"/>
  <c r="AF95" i="10" s="1"/>
  <c r="AC95" i="10"/>
  <c r="AE94" i="10"/>
  <c r="AD94" i="10"/>
  <c r="AC94" i="10"/>
  <c r="AE93" i="10"/>
  <c r="AD93" i="10"/>
  <c r="AF93" i="10" s="1"/>
  <c r="AC93" i="10"/>
  <c r="AE92" i="10"/>
  <c r="AD92" i="10"/>
  <c r="AC92" i="10"/>
  <c r="AE91" i="10"/>
  <c r="AF91" i="10" s="1"/>
  <c r="AG91" i="10" s="1"/>
  <c r="AD91" i="10"/>
  <c r="AC91" i="10"/>
  <c r="AE90" i="10"/>
  <c r="AD90" i="10"/>
  <c r="AC90" i="10"/>
  <c r="AE89" i="10"/>
  <c r="AD89" i="10"/>
  <c r="AC89" i="10"/>
  <c r="AE88" i="10"/>
  <c r="AD88" i="10"/>
  <c r="AC88" i="10"/>
  <c r="AE87" i="10"/>
  <c r="AD87" i="10"/>
  <c r="AC87" i="10"/>
  <c r="AE86" i="10"/>
  <c r="AF86" i="10" s="1"/>
  <c r="AD86" i="10"/>
  <c r="AC86" i="10"/>
  <c r="AE85" i="10"/>
  <c r="AD85" i="10"/>
  <c r="AF85" i="10" s="1"/>
  <c r="AC85" i="10"/>
  <c r="AE84" i="10"/>
  <c r="AD84" i="10"/>
  <c r="AC84" i="10"/>
  <c r="AE83" i="10"/>
  <c r="AD83" i="10"/>
  <c r="AC83" i="10"/>
  <c r="AE82" i="10"/>
  <c r="AD82" i="10"/>
  <c r="AC82" i="10"/>
  <c r="AE81" i="10"/>
  <c r="AD81" i="10"/>
  <c r="AC81" i="10"/>
  <c r="AE80" i="10"/>
  <c r="AD80" i="10"/>
  <c r="AC80" i="10"/>
  <c r="AE79" i="10"/>
  <c r="AD79" i="10"/>
  <c r="AF79" i="10" s="1"/>
  <c r="AC79" i="10"/>
  <c r="AE78" i="10"/>
  <c r="AD78" i="10"/>
  <c r="AC78" i="10"/>
  <c r="AE77" i="10"/>
  <c r="AD77" i="10"/>
  <c r="AC77" i="10"/>
  <c r="AE76" i="10"/>
  <c r="AD76" i="10"/>
  <c r="AC76" i="10"/>
  <c r="AE75" i="10"/>
  <c r="AD75" i="10"/>
  <c r="AC75" i="10"/>
  <c r="AE74" i="10"/>
  <c r="AD74" i="10"/>
  <c r="AF74" i="10" s="1"/>
  <c r="AC74" i="10"/>
  <c r="AE73" i="10"/>
  <c r="AD73" i="10"/>
  <c r="AF73" i="10" s="1"/>
  <c r="AC73" i="10"/>
  <c r="AE72" i="10"/>
  <c r="AD72" i="10"/>
  <c r="AC72" i="10"/>
  <c r="AE71" i="10"/>
  <c r="AD71" i="10"/>
  <c r="AC71" i="10"/>
  <c r="AE70" i="10"/>
  <c r="AF70" i="10" s="1"/>
  <c r="AG70" i="10" s="1"/>
  <c r="AD70" i="10"/>
  <c r="AC70" i="10"/>
  <c r="AE69" i="10"/>
  <c r="AD69" i="10"/>
  <c r="AC69" i="10"/>
  <c r="AE68" i="10"/>
  <c r="AD68" i="10"/>
  <c r="AC68" i="10"/>
  <c r="AE67" i="10"/>
  <c r="AD67" i="10"/>
  <c r="AC67" i="10"/>
  <c r="AE66" i="10"/>
  <c r="AD66" i="10"/>
  <c r="AC66" i="10"/>
  <c r="AE65" i="10"/>
  <c r="AD65" i="10"/>
  <c r="AC65" i="10"/>
  <c r="AE64" i="10"/>
  <c r="AD64" i="10"/>
  <c r="AF64" i="10" s="1"/>
  <c r="AC64" i="10"/>
  <c r="AE63" i="10"/>
  <c r="AD63" i="10"/>
  <c r="AC63" i="10"/>
  <c r="AE62" i="10"/>
  <c r="AD62" i="10"/>
  <c r="AC62" i="10"/>
  <c r="AE61" i="10"/>
  <c r="AD61" i="10"/>
  <c r="AF61" i="10" s="1"/>
  <c r="AC61" i="10"/>
  <c r="AE60" i="10"/>
  <c r="AD60" i="10"/>
  <c r="AC60" i="10"/>
  <c r="AE59" i="10"/>
  <c r="AD59" i="10"/>
  <c r="AC59" i="10"/>
  <c r="AE58" i="10"/>
  <c r="AD58" i="10"/>
  <c r="AF58" i="10" s="1"/>
  <c r="AC58" i="10"/>
  <c r="AE57" i="10"/>
  <c r="AD57" i="10"/>
  <c r="AC57" i="10"/>
  <c r="AE56" i="10"/>
  <c r="AD56" i="10"/>
  <c r="AC56" i="10"/>
  <c r="AE55" i="10"/>
  <c r="AD55" i="10"/>
  <c r="AC55" i="10"/>
  <c r="AF54" i="10"/>
  <c r="AE54" i="10"/>
  <c r="AD54" i="10"/>
  <c r="AC54" i="10"/>
  <c r="AE53" i="10"/>
  <c r="AD53" i="10"/>
  <c r="AF53" i="10" s="1"/>
  <c r="AC53" i="10"/>
  <c r="AE52" i="10"/>
  <c r="AD52" i="10"/>
  <c r="AC52" i="10"/>
  <c r="AE51" i="10"/>
  <c r="AD51" i="10"/>
  <c r="AC51" i="10"/>
  <c r="AE50" i="10"/>
  <c r="AD50" i="10"/>
  <c r="AC50" i="10"/>
  <c r="AE49" i="10"/>
  <c r="AD49" i="10"/>
  <c r="AC49" i="10"/>
  <c r="AE48" i="10"/>
  <c r="AD48" i="10"/>
  <c r="AC48" i="10"/>
  <c r="AE47" i="10"/>
  <c r="AD47" i="10"/>
  <c r="AF47" i="10" s="1"/>
  <c r="AC47" i="10"/>
  <c r="AE46" i="10"/>
  <c r="AD46" i="10"/>
  <c r="AC46" i="10"/>
  <c r="AE45" i="10"/>
  <c r="AD45" i="10"/>
  <c r="AF45" i="10" s="1"/>
  <c r="AC45" i="10"/>
  <c r="AE44" i="10"/>
  <c r="AD44" i="10"/>
  <c r="AC44" i="10"/>
  <c r="AE43" i="10"/>
  <c r="AD43" i="10"/>
  <c r="AC43" i="10"/>
  <c r="AE42" i="10"/>
  <c r="AD42" i="10"/>
  <c r="AC42" i="10"/>
  <c r="AE41" i="10"/>
  <c r="AD41" i="10"/>
  <c r="AC41" i="10"/>
  <c r="AE40" i="10"/>
  <c r="AD40" i="10"/>
  <c r="AC40" i="10"/>
  <c r="AE39" i="10"/>
  <c r="AD39" i="10"/>
  <c r="AC39" i="10"/>
  <c r="AE38" i="10"/>
  <c r="AD38" i="10"/>
  <c r="AC38" i="10"/>
  <c r="AE37" i="10"/>
  <c r="AD37" i="10"/>
  <c r="AC37" i="10"/>
  <c r="AE36" i="10"/>
  <c r="AD36" i="10"/>
  <c r="AC36" i="10"/>
  <c r="AE35" i="10"/>
  <c r="AD35" i="10"/>
  <c r="AC35" i="10"/>
  <c r="AE34" i="10"/>
  <c r="AD34" i="10"/>
  <c r="AC34" i="10"/>
  <c r="AE33" i="10"/>
  <c r="AD33" i="10"/>
  <c r="AC33" i="10"/>
  <c r="AE32" i="10"/>
  <c r="AD32" i="10"/>
  <c r="AC32" i="10"/>
  <c r="AE31" i="10"/>
  <c r="AD31" i="10"/>
  <c r="AF31" i="10" s="1"/>
  <c r="AC31" i="10"/>
  <c r="AE30" i="10"/>
  <c r="AD30" i="10"/>
  <c r="AC30" i="10"/>
  <c r="AE29" i="10"/>
  <c r="AD29" i="10"/>
  <c r="AC29" i="10"/>
  <c r="AE28" i="10"/>
  <c r="AD28" i="10"/>
  <c r="AC28" i="10"/>
  <c r="AE27" i="10"/>
  <c r="AD27" i="10"/>
  <c r="AC27" i="10"/>
  <c r="AE26" i="10"/>
  <c r="AD26" i="10"/>
  <c r="AF26" i="10" s="1"/>
  <c r="AC26" i="10"/>
  <c r="AE25" i="10"/>
  <c r="AD25" i="10"/>
  <c r="AC25" i="10"/>
  <c r="AE24" i="10"/>
  <c r="AD24" i="10"/>
  <c r="AF24" i="10" s="1"/>
  <c r="AC24" i="10"/>
  <c r="AE23" i="10"/>
  <c r="AD23" i="10"/>
  <c r="AC23" i="10"/>
  <c r="AE22" i="10"/>
  <c r="AD22" i="10"/>
  <c r="AF22" i="10" s="1"/>
  <c r="AC22" i="10"/>
  <c r="AE21" i="10"/>
  <c r="AD21" i="10"/>
  <c r="AC21" i="10"/>
  <c r="AE20" i="10"/>
  <c r="AD20" i="10"/>
  <c r="AC20" i="10"/>
  <c r="AE19" i="10"/>
  <c r="AD19" i="10"/>
  <c r="AC19" i="10"/>
  <c r="AE18" i="10"/>
  <c r="AD18" i="10"/>
  <c r="AF18" i="10" s="1"/>
  <c r="AC18" i="10"/>
  <c r="AE17" i="10"/>
  <c r="AD17" i="10"/>
  <c r="AC17" i="10"/>
  <c r="AE16" i="10"/>
  <c r="AD16" i="10"/>
  <c r="AC16" i="10"/>
  <c r="AE115" i="9"/>
  <c r="AF115" i="9" s="1"/>
  <c r="AD115" i="9"/>
  <c r="AC115" i="9"/>
  <c r="AE114" i="9"/>
  <c r="AF114" i="9" s="1"/>
  <c r="AD114" i="9"/>
  <c r="AC114" i="9"/>
  <c r="AE113" i="9"/>
  <c r="AD113" i="9"/>
  <c r="AC113" i="9"/>
  <c r="AE112" i="9"/>
  <c r="AD112" i="9"/>
  <c r="AC112" i="9"/>
  <c r="AE111" i="9"/>
  <c r="AD111" i="9"/>
  <c r="AF111" i="9" s="1"/>
  <c r="AC111" i="9"/>
  <c r="AE110" i="9"/>
  <c r="AD110" i="9"/>
  <c r="AC110" i="9"/>
  <c r="AE109" i="9"/>
  <c r="AD109" i="9"/>
  <c r="AF109" i="9" s="1"/>
  <c r="AG109" i="9" s="1"/>
  <c r="AC109" i="9"/>
  <c r="AE108" i="9"/>
  <c r="AD108" i="9"/>
  <c r="AF108" i="9" s="1"/>
  <c r="AC108" i="9"/>
  <c r="AF107" i="9"/>
  <c r="AE107" i="9"/>
  <c r="AD107" i="9"/>
  <c r="AC107" i="9"/>
  <c r="AE106" i="9"/>
  <c r="AD106" i="9"/>
  <c r="AC106" i="9"/>
  <c r="AE105" i="9"/>
  <c r="AD105" i="9"/>
  <c r="AC105" i="9"/>
  <c r="AE104" i="9"/>
  <c r="AD104" i="9"/>
  <c r="AC104" i="9"/>
  <c r="AE103" i="9"/>
  <c r="AD103" i="9"/>
  <c r="AF103" i="9" s="1"/>
  <c r="AC103" i="9"/>
  <c r="AE102" i="9"/>
  <c r="AF102" i="9" s="1"/>
  <c r="AG102" i="9" s="1"/>
  <c r="AD102" i="9"/>
  <c r="AC102" i="9"/>
  <c r="AE101" i="9"/>
  <c r="AD101" i="9"/>
  <c r="AC101" i="9"/>
  <c r="AE100" i="9"/>
  <c r="AD100" i="9"/>
  <c r="AC100" i="9"/>
  <c r="AE99" i="9"/>
  <c r="AD99" i="9"/>
  <c r="AC99" i="9"/>
  <c r="AE98" i="9"/>
  <c r="AD98" i="9"/>
  <c r="AC98" i="9"/>
  <c r="AE97" i="9"/>
  <c r="AD97" i="9"/>
  <c r="AF97" i="9" s="1"/>
  <c r="AC97" i="9"/>
  <c r="AE96" i="9"/>
  <c r="AD96" i="9"/>
  <c r="AC96" i="9"/>
  <c r="AE95" i="9"/>
  <c r="AD95" i="9"/>
  <c r="AC95" i="9"/>
  <c r="AE94" i="9"/>
  <c r="AF94" i="9" s="1"/>
  <c r="AD94" i="9"/>
  <c r="AC94" i="9"/>
  <c r="AE93" i="9"/>
  <c r="AD93" i="9"/>
  <c r="AC93" i="9"/>
  <c r="AE92" i="9"/>
  <c r="AD92" i="9"/>
  <c r="AC92" i="9"/>
  <c r="AE91" i="9"/>
  <c r="AD91" i="9"/>
  <c r="AF91" i="9" s="1"/>
  <c r="AC91" i="9"/>
  <c r="AE90" i="9"/>
  <c r="AD90" i="9"/>
  <c r="AC90" i="9"/>
  <c r="AE89" i="9"/>
  <c r="AD89" i="9"/>
  <c r="AF89" i="9" s="1"/>
  <c r="AC89" i="9"/>
  <c r="AE88" i="9"/>
  <c r="AD88" i="9"/>
  <c r="AC88" i="9"/>
  <c r="AE87" i="9"/>
  <c r="AD87" i="9"/>
  <c r="AF87" i="9" s="1"/>
  <c r="AC87" i="9"/>
  <c r="AE86" i="9"/>
  <c r="AF86" i="9" s="1"/>
  <c r="AD86" i="9"/>
  <c r="AC86" i="9"/>
  <c r="AE85" i="9"/>
  <c r="AD85" i="9"/>
  <c r="AC85" i="9"/>
  <c r="AE84" i="9"/>
  <c r="AD84" i="9"/>
  <c r="AC84" i="9"/>
  <c r="AE83" i="9"/>
  <c r="AD83" i="9"/>
  <c r="AC83" i="9"/>
  <c r="AE82" i="9"/>
  <c r="AD82" i="9"/>
  <c r="AC82" i="9"/>
  <c r="AE81" i="9"/>
  <c r="AD81" i="9"/>
  <c r="AC81" i="9"/>
  <c r="AE80" i="9"/>
  <c r="AD80" i="9"/>
  <c r="AC80" i="9"/>
  <c r="AE79" i="9"/>
  <c r="AD79" i="9"/>
  <c r="AC79" i="9"/>
  <c r="AE78" i="9"/>
  <c r="AD78" i="9"/>
  <c r="AC78" i="9"/>
  <c r="AE77" i="9"/>
  <c r="AD77" i="9"/>
  <c r="AC77" i="9"/>
  <c r="AE76" i="9"/>
  <c r="AD76" i="9"/>
  <c r="AC76" i="9"/>
  <c r="AE75" i="9"/>
  <c r="AD75" i="9"/>
  <c r="AF75" i="9" s="1"/>
  <c r="AC75" i="9"/>
  <c r="AE74" i="9"/>
  <c r="AD74" i="9"/>
  <c r="AC74" i="9"/>
  <c r="AE73" i="9"/>
  <c r="AD73" i="9"/>
  <c r="AC73" i="9"/>
  <c r="AE72" i="9"/>
  <c r="AD72" i="9"/>
  <c r="AC72" i="9"/>
  <c r="AE71" i="9"/>
  <c r="AD71" i="9"/>
  <c r="AF71" i="9" s="1"/>
  <c r="AC71" i="9"/>
  <c r="AE70" i="9"/>
  <c r="AD70" i="9"/>
  <c r="AC70" i="9"/>
  <c r="AE69" i="9"/>
  <c r="AD69" i="9"/>
  <c r="AC69" i="9"/>
  <c r="AE68" i="9"/>
  <c r="AD68" i="9"/>
  <c r="AC68" i="9"/>
  <c r="AE67" i="9"/>
  <c r="AD67" i="9"/>
  <c r="AC67" i="9"/>
  <c r="AE66" i="9"/>
  <c r="AD66" i="9"/>
  <c r="AC66" i="9"/>
  <c r="AE65" i="9"/>
  <c r="AD65" i="9"/>
  <c r="AC65" i="9"/>
  <c r="AE64" i="9"/>
  <c r="AD64" i="9"/>
  <c r="AC64" i="9"/>
  <c r="AE63" i="9"/>
  <c r="AD63" i="9"/>
  <c r="AC63" i="9"/>
  <c r="AE62" i="9"/>
  <c r="AF62" i="9" s="1"/>
  <c r="AD62" i="9"/>
  <c r="AC62" i="9"/>
  <c r="AE61" i="9"/>
  <c r="AD61" i="9"/>
  <c r="AC61" i="9"/>
  <c r="AE60" i="9"/>
  <c r="AD60" i="9"/>
  <c r="AC60" i="9"/>
  <c r="AE59" i="9"/>
  <c r="AD59" i="9"/>
  <c r="AF59" i="9" s="1"/>
  <c r="AC59" i="9"/>
  <c r="AE58" i="9"/>
  <c r="AD58" i="9"/>
  <c r="AC58" i="9"/>
  <c r="AE57" i="9"/>
  <c r="AD57" i="9"/>
  <c r="AC57" i="9"/>
  <c r="AE56" i="9"/>
  <c r="AD56" i="9"/>
  <c r="AC56" i="9"/>
  <c r="AE55" i="9"/>
  <c r="AD55" i="9"/>
  <c r="AF55" i="9" s="1"/>
  <c r="AC55" i="9"/>
  <c r="AE54" i="9"/>
  <c r="AF54" i="9" s="1"/>
  <c r="AD54" i="9"/>
  <c r="AC54" i="9"/>
  <c r="AE53" i="9"/>
  <c r="AF53" i="9" s="1"/>
  <c r="AD53" i="9"/>
  <c r="AC53" i="9"/>
  <c r="AE52" i="9"/>
  <c r="AD52" i="9"/>
  <c r="AC52" i="9"/>
  <c r="AE51" i="9"/>
  <c r="AD51" i="9"/>
  <c r="AC51" i="9"/>
  <c r="AE50" i="9"/>
  <c r="AD50" i="9"/>
  <c r="AC50" i="9"/>
  <c r="AE49" i="9"/>
  <c r="AD49" i="9"/>
  <c r="AC49" i="9"/>
  <c r="AE48" i="9"/>
  <c r="AD48" i="9"/>
  <c r="AC48" i="9"/>
  <c r="AE47" i="9"/>
  <c r="AD47" i="9"/>
  <c r="AC47" i="9"/>
  <c r="AE46" i="9"/>
  <c r="AD46" i="9"/>
  <c r="AC46" i="9"/>
  <c r="AE45" i="9"/>
  <c r="AD45" i="9"/>
  <c r="AC45" i="9"/>
  <c r="AE44" i="9"/>
  <c r="AD44" i="9"/>
  <c r="AC44" i="9"/>
  <c r="AE43" i="9"/>
  <c r="AD43" i="9"/>
  <c r="AF43" i="9" s="1"/>
  <c r="AC43" i="9"/>
  <c r="AE42" i="9"/>
  <c r="AD42" i="9"/>
  <c r="AC42" i="9"/>
  <c r="AE41" i="9"/>
  <c r="AD41" i="9"/>
  <c r="AC41" i="9"/>
  <c r="AE40" i="9"/>
  <c r="AD40" i="9"/>
  <c r="AC40" i="9"/>
  <c r="AE39" i="9"/>
  <c r="AD39" i="9"/>
  <c r="AC39" i="9"/>
  <c r="AE38" i="9"/>
  <c r="AD38" i="9"/>
  <c r="AC38" i="9"/>
  <c r="AE37" i="9"/>
  <c r="AD37" i="9"/>
  <c r="AC37" i="9"/>
  <c r="AE36" i="9"/>
  <c r="AD36" i="9"/>
  <c r="AC36" i="9"/>
  <c r="AE35" i="9"/>
  <c r="AD35" i="9"/>
  <c r="AC35" i="9"/>
  <c r="AE34" i="9"/>
  <c r="AD34" i="9"/>
  <c r="AC34" i="9"/>
  <c r="AE33" i="9"/>
  <c r="AD33" i="9"/>
  <c r="AF33" i="9" s="1"/>
  <c r="AC33" i="9"/>
  <c r="AE32" i="9"/>
  <c r="AD32" i="9"/>
  <c r="AC32" i="9"/>
  <c r="AE31" i="9"/>
  <c r="AD31" i="9"/>
  <c r="AC31" i="9"/>
  <c r="AE30" i="9"/>
  <c r="AD30" i="9"/>
  <c r="AF30" i="9" s="1"/>
  <c r="AC30" i="9"/>
  <c r="AE29" i="9"/>
  <c r="AF29" i="9" s="1"/>
  <c r="AD29" i="9"/>
  <c r="AC29" i="9"/>
  <c r="AE28" i="9"/>
  <c r="AD28" i="9"/>
  <c r="AC28" i="9"/>
  <c r="AE27" i="9"/>
  <c r="AF27" i="9" s="1"/>
  <c r="AD27" i="9"/>
  <c r="AC27" i="9"/>
  <c r="AE26" i="9"/>
  <c r="AD26" i="9"/>
  <c r="AC26" i="9"/>
  <c r="AE25" i="9"/>
  <c r="AD25" i="9"/>
  <c r="AC25" i="9"/>
  <c r="AE24" i="9"/>
  <c r="AD24" i="9"/>
  <c r="AC24" i="9"/>
  <c r="AE23" i="9"/>
  <c r="AD23" i="9"/>
  <c r="AC23" i="9"/>
  <c r="AE22" i="9"/>
  <c r="AD22" i="9"/>
  <c r="AC22" i="9"/>
  <c r="AE21" i="9"/>
  <c r="AD21" i="9"/>
  <c r="AC21" i="9"/>
  <c r="AE20" i="9"/>
  <c r="AD20" i="9"/>
  <c r="AC20" i="9"/>
  <c r="AE19" i="9"/>
  <c r="AD19" i="9"/>
  <c r="AC19" i="9"/>
  <c r="AE18" i="9"/>
  <c r="AD18" i="9"/>
  <c r="AC18" i="9"/>
  <c r="AE17" i="9"/>
  <c r="AD17" i="9"/>
  <c r="AC17" i="9"/>
  <c r="AE16" i="9"/>
  <c r="AD16" i="9"/>
  <c r="AC16" i="9"/>
  <c r="G76" i="1"/>
  <c r="G74" i="1"/>
  <c r="F76" i="1"/>
  <c r="F74" i="1"/>
  <c r="E76" i="1"/>
  <c r="E74" i="1"/>
  <c r="D76" i="1"/>
  <c r="D74" i="1"/>
  <c r="G77" i="1"/>
  <c r="F77" i="1"/>
  <c r="E77" i="1"/>
  <c r="D77" i="1"/>
  <c r="AF18" i="9" l="1"/>
  <c r="AF21" i="9"/>
  <c r="AG21" i="9" s="1"/>
  <c r="AF26" i="9"/>
  <c r="AF34" i="9"/>
  <c r="AF37" i="9"/>
  <c r="AG37" i="9" s="1"/>
  <c r="AF42" i="9"/>
  <c r="AG42" i="9" s="1"/>
  <c r="AF50" i="9"/>
  <c r="AG50" i="9" s="1"/>
  <c r="AF58" i="9"/>
  <c r="AG58" i="9" s="1"/>
  <c r="AF61" i="9"/>
  <c r="AG61" i="9" s="1"/>
  <c r="AF69" i="9"/>
  <c r="AG69" i="9" s="1"/>
  <c r="AF74" i="9"/>
  <c r="AF77" i="9"/>
  <c r="AF85" i="9"/>
  <c r="AG85" i="9" s="1"/>
  <c r="AF35" i="9"/>
  <c r="AG35" i="9" s="1"/>
  <c r="AG43" i="9"/>
  <c r="AG75" i="9"/>
  <c r="AF80" i="9"/>
  <c r="AF99" i="9"/>
  <c r="AG99" i="9" s="1"/>
  <c r="AG27" i="9"/>
  <c r="AF38" i="9"/>
  <c r="AG53" i="9"/>
  <c r="AF17" i="9"/>
  <c r="AG29" i="9"/>
  <c r="AF52" i="9"/>
  <c r="AF76" i="9"/>
  <c r="AF84" i="9"/>
  <c r="AF20" i="9"/>
  <c r="AF51" i="9"/>
  <c r="AG51" i="9" s="1"/>
  <c r="AG59" i="9"/>
  <c r="AF64" i="9"/>
  <c r="AG64" i="9" s="1"/>
  <c r="AF67" i="9"/>
  <c r="AG67" i="9" s="1"/>
  <c r="AF72" i="9"/>
  <c r="AF90" i="9"/>
  <c r="AG90" i="9" s="1"/>
  <c r="AF93" i="9"/>
  <c r="AG93" i="9" s="1"/>
  <c r="AF101" i="9"/>
  <c r="AG101" i="9" s="1"/>
  <c r="AF106" i="9"/>
  <c r="AF48" i="9"/>
  <c r="AG48" i="9" s="1"/>
  <c r="AF23" i="9"/>
  <c r="AG23" i="9" s="1"/>
  <c r="AF28" i="9"/>
  <c r="AG28" i="9" s="1"/>
  <c r="AF36" i="9"/>
  <c r="AG36" i="9" s="1"/>
  <c r="AF49" i="9"/>
  <c r="AG49" i="9" s="1"/>
  <c r="AG80" i="9"/>
  <c r="AF31" i="9"/>
  <c r="AF39" i="9"/>
  <c r="AF44" i="9"/>
  <c r="AF57" i="9"/>
  <c r="AG57" i="9" s="1"/>
  <c r="AF65" i="9"/>
  <c r="AG65" i="9" s="1"/>
  <c r="AF70" i="9"/>
  <c r="AG70" i="9" s="1"/>
  <c r="AF83" i="9"/>
  <c r="AG83" i="9" s="1"/>
  <c r="AG91" i="9"/>
  <c r="AF96" i="9"/>
  <c r="AF104" i="9"/>
  <c r="AG38" i="9"/>
  <c r="AF82" i="9"/>
  <c r="AG82" i="9" s="1"/>
  <c r="AF47" i="9"/>
  <c r="AF60" i="9"/>
  <c r="AF81" i="9"/>
  <c r="AG77" i="9"/>
  <c r="AF16" i="9"/>
  <c r="AG16" i="9" s="1"/>
  <c r="AG107" i="9"/>
  <c r="AF22" i="9"/>
  <c r="AG22" i="9" s="1"/>
  <c r="AF19" i="9"/>
  <c r="AG19" i="9" s="1"/>
  <c r="AF32" i="9"/>
  <c r="AG32" i="9" s="1"/>
  <c r="AF45" i="9"/>
  <c r="AG45" i="9" s="1"/>
  <c r="AF79" i="9"/>
  <c r="AF92" i="9"/>
  <c r="AF113" i="9"/>
  <c r="AG113" i="9" s="1"/>
  <c r="AG30" i="9"/>
  <c r="AF78" i="9"/>
  <c r="AG78" i="9" s="1"/>
  <c r="AD116" i="9"/>
  <c r="D72" i="1" s="1"/>
  <c r="AE116" i="9"/>
  <c r="E72" i="1" s="1"/>
  <c r="AG86" i="9"/>
  <c r="AG96" i="9"/>
  <c r="AF46" i="9"/>
  <c r="AG46" i="9" s="1"/>
  <c r="AF88" i="9"/>
  <c r="AG88" i="9" s="1"/>
  <c r="AG20" i="9"/>
  <c r="AF24" i="9"/>
  <c r="AG24" i="9" s="1"/>
  <c r="AG31" i="9"/>
  <c r="AF40" i="9"/>
  <c r="AG40" i="9" s="1"/>
  <c r="AG55" i="9"/>
  <c r="AG60" i="9"/>
  <c r="AG87" i="9"/>
  <c r="AG92" i="9"/>
  <c r="AG97" i="9"/>
  <c r="AF66" i="9"/>
  <c r="AG66" i="9" s="1"/>
  <c r="AF110" i="9"/>
  <c r="AG110" i="9" s="1"/>
  <c r="AG54" i="9"/>
  <c r="AG34" i="9"/>
  <c r="AG62" i="9"/>
  <c r="AG72" i="9"/>
  <c r="AG94" i="9"/>
  <c r="AG104" i="9"/>
  <c r="AG114" i="9"/>
  <c r="AF56" i="9"/>
  <c r="AG56" i="9" s="1"/>
  <c r="AF98" i="9"/>
  <c r="AG18" i="9"/>
  <c r="AF112" i="9"/>
  <c r="AG112" i="9" s="1"/>
  <c r="AG115" i="9"/>
  <c r="AF25" i="9"/>
  <c r="AG25" i="9" s="1"/>
  <c r="AF41" i="9"/>
  <c r="AF63" i="9"/>
  <c r="AG63" i="9" s="1"/>
  <c r="AF68" i="9"/>
  <c r="AG68" i="9" s="1"/>
  <c r="AF73" i="9"/>
  <c r="AG73" i="9" s="1"/>
  <c r="AF95" i="9"/>
  <c r="AG95" i="9" s="1"/>
  <c r="AF100" i="9"/>
  <c r="AG100" i="9" s="1"/>
  <c r="AF105" i="9"/>
  <c r="AG105" i="9" s="1"/>
  <c r="AG24" i="10"/>
  <c r="AF32" i="10"/>
  <c r="AF48" i="10"/>
  <c r="AG48" i="10" s="1"/>
  <c r="AF77" i="10"/>
  <c r="AG77" i="10"/>
  <c r="AF80" i="10"/>
  <c r="AG80" i="10" s="1"/>
  <c r="AF71" i="10"/>
  <c r="AG71" i="10" s="1"/>
  <c r="AF30" i="10"/>
  <c r="AG30" i="10" s="1"/>
  <c r="AF76" i="10"/>
  <c r="AF55" i="10"/>
  <c r="AF94" i="10"/>
  <c r="AG94" i="10" s="1"/>
  <c r="AF110" i="10"/>
  <c r="AG110" i="10" s="1"/>
  <c r="AF92" i="10"/>
  <c r="AG92" i="10" s="1"/>
  <c r="AF21" i="10"/>
  <c r="AF39" i="10"/>
  <c r="AG39" i="10" s="1"/>
  <c r="AF42" i="10"/>
  <c r="AG42" i="10" s="1"/>
  <c r="AG45" i="10"/>
  <c r="AG58" i="10"/>
  <c r="AF63" i="10"/>
  <c r="AF84" i="10"/>
  <c r="AG84" i="10" s="1"/>
  <c r="AF89" i="10"/>
  <c r="AG89" i="10" s="1"/>
  <c r="AF97" i="10"/>
  <c r="AG97" i="10" s="1"/>
  <c r="AF102" i="10"/>
  <c r="AG102" i="10" s="1"/>
  <c r="AF105" i="10"/>
  <c r="AG105" i="10" s="1"/>
  <c r="AF19" i="10"/>
  <c r="AG19" i="10" s="1"/>
  <c r="AG22" i="10"/>
  <c r="AF27" i="10"/>
  <c r="AG27" i="10" s="1"/>
  <c r="AG64" i="10"/>
  <c r="AF87" i="10"/>
  <c r="AG87" i="10" s="1"/>
  <c r="AF90" i="10"/>
  <c r="AG90" i="10" s="1"/>
  <c r="AF17" i="10"/>
  <c r="AG17" i="10" s="1"/>
  <c r="AF46" i="10"/>
  <c r="AG46" i="10" s="1"/>
  <c r="AF28" i="10"/>
  <c r="AF33" i="10"/>
  <c r="AG33" i="10" s="1"/>
  <c r="AF38" i="10"/>
  <c r="AG38" i="10" s="1"/>
  <c r="AF41" i="10"/>
  <c r="AF59" i="10"/>
  <c r="AG59" i="10" s="1"/>
  <c r="AF62" i="10"/>
  <c r="AG62" i="10" s="1"/>
  <c r="AF112" i="10"/>
  <c r="AG112" i="10" s="1"/>
  <c r="AG18" i="10"/>
  <c r="AF23" i="10"/>
  <c r="AG23" i="10" s="1"/>
  <c r="AF36" i="10"/>
  <c r="AG36" i="10" s="1"/>
  <c r="AF52" i="10"/>
  <c r="AF57" i="10"/>
  <c r="AG57" i="10" s="1"/>
  <c r="AF65" i="10"/>
  <c r="AG65" i="10" s="1"/>
  <c r="AF78" i="10"/>
  <c r="AG78" i="10" s="1"/>
  <c r="AG76" i="10"/>
  <c r="AG63" i="10"/>
  <c r="AF75" i="10"/>
  <c r="AG75" i="10" s="1"/>
  <c r="AF68" i="10"/>
  <c r="AD116" i="10"/>
  <c r="D79" i="1" s="1"/>
  <c r="AF29" i="10"/>
  <c r="AG29" i="10" s="1"/>
  <c r="AF34" i="10"/>
  <c r="AG34" i="10" s="1"/>
  <c r="AF44" i="10"/>
  <c r="AG44" i="10" s="1"/>
  <c r="AF51" i="10"/>
  <c r="AG51" i="10" s="1"/>
  <c r="AF56" i="10"/>
  <c r="AG56" i="10" s="1"/>
  <c r="AF66" i="10"/>
  <c r="AF83" i="10"/>
  <c r="AG83" i="10" s="1"/>
  <c r="AF88" i="10"/>
  <c r="AG88" i="10" s="1"/>
  <c r="AF98" i="10"/>
  <c r="AG98" i="10" s="1"/>
  <c r="AF115" i="10"/>
  <c r="AG115" i="10" s="1"/>
  <c r="AF100" i="10"/>
  <c r="AG100" i="10" s="1"/>
  <c r="AE116" i="10"/>
  <c r="E79" i="1" s="1"/>
  <c r="AF37" i="10"/>
  <c r="AG37" i="10" s="1"/>
  <c r="AG47" i="10"/>
  <c r="AF49" i="10"/>
  <c r="AG49" i="10" s="1"/>
  <c r="AG52" i="10"/>
  <c r="AF69" i="10"/>
  <c r="AG69" i="10" s="1"/>
  <c r="AG74" i="10"/>
  <c r="AG79" i="10"/>
  <c r="AF81" i="10"/>
  <c r="AG81" i="10" s="1"/>
  <c r="AF101" i="10"/>
  <c r="AG101" i="10" s="1"/>
  <c r="AF108" i="10"/>
  <c r="AG108" i="10" s="1"/>
  <c r="AG111" i="10"/>
  <c r="AF113" i="10"/>
  <c r="AG113" i="10" s="1"/>
  <c r="AF107" i="10"/>
  <c r="AG107" i="10" s="1"/>
  <c r="AG32" i="10"/>
  <c r="AG54" i="10"/>
  <c r="AG86" i="10"/>
  <c r="AF96" i="10"/>
  <c r="AG96" i="10" s="1"/>
  <c r="AF106" i="10"/>
  <c r="AG106" i="10" s="1"/>
  <c r="AG109" i="10"/>
  <c r="AF43" i="10"/>
  <c r="AG43" i="10" s="1"/>
  <c r="AG66" i="10"/>
  <c r="AG73" i="10"/>
  <c r="AG103" i="10"/>
  <c r="AG50" i="10"/>
  <c r="AG55" i="10"/>
  <c r="AG95" i="10"/>
  <c r="AG41" i="10"/>
  <c r="AF20" i="10"/>
  <c r="AG20" i="10" s="1"/>
  <c r="AF25" i="10"/>
  <c r="AG25" i="10" s="1"/>
  <c r="AG28" i="10"/>
  <c r="AF35" i="10"/>
  <c r="AG35" i="10" s="1"/>
  <c r="AF40" i="10"/>
  <c r="AG40" i="10" s="1"/>
  <c r="AF50" i="10"/>
  <c r="AG53" i="10"/>
  <c r="AF60" i="10"/>
  <c r="AG60" i="10" s="1"/>
  <c r="AF67" i="10"/>
  <c r="AG67" i="10" s="1"/>
  <c r="AF72" i="10"/>
  <c r="AG72" i="10" s="1"/>
  <c r="AF82" i="10"/>
  <c r="AG82" i="10" s="1"/>
  <c r="AF99" i="10"/>
  <c r="AG99" i="10" s="1"/>
  <c r="AF104" i="10"/>
  <c r="AG104" i="10" s="1"/>
  <c r="AF114" i="10"/>
  <c r="AG114" i="10" s="1"/>
  <c r="AF30" i="19"/>
  <c r="AF38" i="19"/>
  <c r="AF46" i="19"/>
  <c r="AF62" i="19"/>
  <c r="AF70" i="19"/>
  <c r="AF78" i="19"/>
  <c r="AG78" i="19" s="1"/>
  <c r="AF86" i="19"/>
  <c r="AG86" i="19" s="1"/>
  <c r="AF94" i="19"/>
  <c r="AF102" i="19"/>
  <c r="AG102" i="19" s="1"/>
  <c r="AG44" i="19"/>
  <c r="AF49" i="19"/>
  <c r="AG49" i="19" s="1"/>
  <c r="AG52" i="19"/>
  <c r="AG60" i="19"/>
  <c r="AG63" i="19"/>
  <c r="AF65" i="19"/>
  <c r="AG65" i="19" s="1"/>
  <c r="AG68" i="19"/>
  <c r="AG76" i="19"/>
  <c r="AG84" i="19"/>
  <c r="AG92" i="19"/>
  <c r="AF97" i="19"/>
  <c r="AG97" i="19" s="1"/>
  <c r="AG100" i="19"/>
  <c r="AF23" i="19"/>
  <c r="AG23" i="19" s="1"/>
  <c r="AF28" i="19"/>
  <c r="AG28" i="19" s="1"/>
  <c r="AF31" i="19"/>
  <c r="AG31" i="19" s="1"/>
  <c r="AF63" i="19"/>
  <c r="AF79" i="19"/>
  <c r="AG79" i="19" s="1"/>
  <c r="AF37" i="19"/>
  <c r="AF45" i="19"/>
  <c r="AF53" i="19"/>
  <c r="AF61" i="19"/>
  <c r="AG61" i="19" s="1"/>
  <c r="AF69" i="19"/>
  <c r="AF77" i="19"/>
  <c r="AF85" i="19"/>
  <c r="AF93" i="19"/>
  <c r="AF101" i="19"/>
  <c r="AG101" i="19" s="1"/>
  <c r="AG20" i="19"/>
  <c r="AF22" i="19"/>
  <c r="AG22" i="19" s="1"/>
  <c r="AF27" i="19"/>
  <c r="AG27" i="19" s="1"/>
  <c r="AG30" i="19"/>
  <c r="AF32" i="19"/>
  <c r="AF40" i="19"/>
  <c r="AG40" i="19" s="1"/>
  <c r="AF48" i="19"/>
  <c r="AG48" i="19" s="1"/>
  <c r="AG51" i="19"/>
  <c r="AF56" i="19"/>
  <c r="AF64" i="19"/>
  <c r="AG67" i="19"/>
  <c r="AF72" i="19"/>
  <c r="AF80" i="19"/>
  <c r="AG83" i="19"/>
  <c r="AF88" i="19"/>
  <c r="AF96" i="19"/>
  <c r="AG96" i="19" s="1"/>
  <c r="AF89" i="19"/>
  <c r="AG89" i="19" s="1"/>
  <c r="AG110" i="19"/>
  <c r="AG108" i="19"/>
  <c r="AF21" i="19"/>
  <c r="AG21" i="19" s="1"/>
  <c r="AF26" i="19"/>
  <c r="AG26" i="19" s="1"/>
  <c r="AF36" i="19"/>
  <c r="AG36" i="19" s="1"/>
  <c r="AF39" i="19"/>
  <c r="AG39" i="19" s="1"/>
  <c r="AF55" i="19"/>
  <c r="AG55" i="19" s="1"/>
  <c r="AF71" i="19"/>
  <c r="AG71" i="19" s="1"/>
  <c r="AF87" i="19"/>
  <c r="AG87" i="19" s="1"/>
  <c r="AF29" i="19"/>
  <c r="AG29" i="19" s="1"/>
  <c r="AF34" i="19"/>
  <c r="AG34" i="19" s="1"/>
  <c r="AG37" i="19"/>
  <c r="AF58" i="19"/>
  <c r="AG58" i="19" s="1"/>
  <c r="AF74" i="19"/>
  <c r="AG74" i="19" s="1"/>
  <c r="AF90" i="19"/>
  <c r="AF95" i="19"/>
  <c r="AG95" i="19" s="1"/>
  <c r="AF19" i="19"/>
  <c r="AG19" i="19" s="1"/>
  <c r="AG32" i="19"/>
  <c r="AG80" i="19"/>
  <c r="AF57" i="19"/>
  <c r="AG57" i="19" s="1"/>
  <c r="AF41" i="19"/>
  <c r="AG41" i="19" s="1"/>
  <c r="AF99" i="19"/>
  <c r="AF105" i="19"/>
  <c r="AG105" i="19" s="1"/>
  <c r="AF115" i="19"/>
  <c r="AG115" i="19" s="1"/>
  <c r="AF18" i="19"/>
  <c r="AG18" i="19" s="1"/>
  <c r="AG90" i="19"/>
  <c r="AG53" i="19"/>
  <c r="AF17" i="19"/>
  <c r="AG17" i="19" s="1"/>
  <c r="AG99" i="19"/>
  <c r="AF25" i="19"/>
  <c r="AG25" i="19" s="1"/>
  <c r="AF35" i="19"/>
  <c r="AG35" i="19" s="1"/>
  <c r="AF42" i="19"/>
  <c r="AG42" i="19" s="1"/>
  <c r="AG77" i="19"/>
  <c r="AF81" i="19"/>
  <c r="AG81" i="19" s="1"/>
  <c r="AG93" i="19"/>
  <c r="AF113" i="19"/>
  <c r="AG113" i="19" s="1"/>
  <c r="AG69" i="19"/>
  <c r="AF73" i="19"/>
  <c r="AG73" i="19" s="1"/>
  <c r="AD116" i="19"/>
  <c r="D66" i="1" s="1"/>
  <c r="AF54" i="19"/>
  <c r="AG54" i="19" s="1"/>
  <c r="AG109" i="19"/>
  <c r="AG85" i="19"/>
  <c r="AG112" i="19"/>
  <c r="AE116" i="19"/>
  <c r="E66" i="1" s="1"/>
  <c r="AF91" i="19"/>
  <c r="AG91" i="19" s="1"/>
  <c r="AF104" i="19"/>
  <c r="AG104" i="19" s="1"/>
  <c r="AG107" i="19"/>
  <c r="AF111" i="19"/>
  <c r="AG111" i="19" s="1"/>
  <c r="AF33" i="19"/>
  <c r="AG33" i="19" s="1"/>
  <c r="AF43" i="19"/>
  <c r="AG43" i="19" s="1"/>
  <c r="AF66" i="19"/>
  <c r="AG66" i="19" s="1"/>
  <c r="AF82" i="19"/>
  <c r="AG82" i="19" s="1"/>
  <c r="AF98" i="19"/>
  <c r="AG98" i="19" s="1"/>
  <c r="AF107" i="19"/>
  <c r="AF114" i="19"/>
  <c r="AG114" i="19" s="1"/>
  <c r="AF23" i="20"/>
  <c r="AF52" i="20"/>
  <c r="AF110" i="20"/>
  <c r="AG110" i="20" s="1"/>
  <c r="AF45" i="20"/>
  <c r="AF63" i="20"/>
  <c r="AG63" i="20" s="1"/>
  <c r="AF66" i="20"/>
  <c r="AG66" i="20" s="1"/>
  <c r="AF82" i="20"/>
  <c r="AG82" i="20" s="1"/>
  <c r="AF30" i="20"/>
  <c r="AG30" i="20" s="1"/>
  <c r="AF38" i="20"/>
  <c r="AF43" i="20"/>
  <c r="AF54" i="20"/>
  <c r="AF41" i="20"/>
  <c r="AF62" i="20"/>
  <c r="AF70" i="20"/>
  <c r="AG38" i="20"/>
  <c r="AF27" i="20"/>
  <c r="AG27" i="20" s="1"/>
  <c r="AF100" i="20"/>
  <c r="AF20" i="20"/>
  <c r="AG23" i="20"/>
  <c r="AF25" i="20"/>
  <c r="AG25" i="20" s="1"/>
  <c r="AF56" i="20"/>
  <c r="AG56" i="20" s="1"/>
  <c r="AF77" i="20"/>
  <c r="AG77" i="20" s="1"/>
  <c r="AF95" i="20"/>
  <c r="AG95" i="20" s="1"/>
  <c r="AF98" i="20"/>
  <c r="AG98" i="20" s="1"/>
  <c r="AF103" i="20"/>
  <c r="AG103" i="20" s="1"/>
  <c r="AF111" i="20"/>
  <c r="AG111" i="20" s="1"/>
  <c r="AF36" i="20"/>
  <c r="AG36" i="20" s="1"/>
  <c r="AG41" i="20"/>
  <c r="AF46" i="20"/>
  <c r="AG46" i="20" s="1"/>
  <c r="AF59" i="20"/>
  <c r="AG59" i="20" s="1"/>
  <c r="AG96" i="20"/>
  <c r="AG70" i="20"/>
  <c r="AF31" i="20"/>
  <c r="AF34" i="20"/>
  <c r="AF57" i="20"/>
  <c r="AG57" i="20" s="1"/>
  <c r="AF75" i="20"/>
  <c r="AF86" i="20"/>
  <c r="AG86" i="20" s="1"/>
  <c r="AG102" i="20"/>
  <c r="AF104" i="20"/>
  <c r="AG104" i="20" s="1"/>
  <c r="AE116" i="20"/>
  <c r="E80" i="1" s="1"/>
  <c r="AG22" i="20"/>
  <c r="AF29" i="20"/>
  <c r="AG29" i="20" s="1"/>
  <c r="AF47" i="20"/>
  <c r="AG47" i="20" s="1"/>
  <c r="AF73" i="20"/>
  <c r="AG73" i="20" s="1"/>
  <c r="AF94" i="20"/>
  <c r="AG94" i="20" s="1"/>
  <c r="AF24" i="20"/>
  <c r="AF50" i="20"/>
  <c r="AG50" i="20" s="1"/>
  <c r="AF89" i="20"/>
  <c r="AG89" i="20" s="1"/>
  <c r="AF17" i="20"/>
  <c r="AG17" i="20" s="1"/>
  <c r="AF37" i="20"/>
  <c r="AG37" i="20" s="1"/>
  <c r="AF44" i="20"/>
  <c r="AG44" i="20" s="1"/>
  <c r="AF49" i="20"/>
  <c r="AG49" i="20" s="1"/>
  <c r="AG62" i="20"/>
  <c r="AF69" i="20"/>
  <c r="AG69" i="20" s="1"/>
  <c r="AF76" i="20"/>
  <c r="AG76" i="20" s="1"/>
  <c r="AF81" i="20"/>
  <c r="AG81" i="20" s="1"/>
  <c r="AF101" i="20"/>
  <c r="AG101" i="20" s="1"/>
  <c r="AF108" i="20"/>
  <c r="AF113" i="20"/>
  <c r="AG113" i="20" s="1"/>
  <c r="AF32" i="20"/>
  <c r="AG32" i="20" s="1"/>
  <c r="AG39" i="20"/>
  <c r="AF42" i="20"/>
  <c r="AG42" i="20" s="1"/>
  <c r="AG45" i="20"/>
  <c r="AF64" i="20"/>
  <c r="AG64" i="20" s="1"/>
  <c r="AF74" i="20"/>
  <c r="AG74" i="20" s="1"/>
  <c r="AG18" i="20"/>
  <c r="AF35" i="20"/>
  <c r="AG35" i="20" s="1"/>
  <c r="AG40" i="20"/>
  <c r="AF67" i="20"/>
  <c r="AG67" i="20" s="1"/>
  <c r="AG72" i="20"/>
  <c r="AF99" i="20"/>
  <c r="AG99" i="20" s="1"/>
  <c r="AF114" i="20"/>
  <c r="AG114" i="20" s="1"/>
  <c r="AF21" i="20"/>
  <c r="AG21" i="20" s="1"/>
  <c r="AF28" i="20"/>
  <c r="AG28" i="20" s="1"/>
  <c r="AG31" i="20"/>
  <c r="AF33" i="20"/>
  <c r="AG33" i="20" s="1"/>
  <c r="AF53" i="20"/>
  <c r="AG53" i="20" s="1"/>
  <c r="AF60" i="20"/>
  <c r="AG60" i="20" s="1"/>
  <c r="AF65" i="20"/>
  <c r="AG65" i="20" s="1"/>
  <c r="AG78" i="20"/>
  <c r="AF85" i="20"/>
  <c r="AF92" i="20"/>
  <c r="AG92" i="20" s="1"/>
  <c r="AF97" i="20"/>
  <c r="AG97" i="20" s="1"/>
  <c r="AD116" i="20"/>
  <c r="D80" i="1" s="1"/>
  <c r="AF26" i="20"/>
  <c r="AG26" i="20" s="1"/>
  <c r="AF48" i="20"/>
  <c r="AG48" i="20" s="1"/>
  <c r="AG55" i="20"/>
  <c r="AF58" i="20"/>
  <c r="AG58" i="20" s="1"/>
  <c r="AG61" i="20"/>
  <c r="AF80" i="20"/>
  <c r="AG80" i="20" s="1"/>
  <c r="AG87" i="20"/>
  <c r="AF90" i="20"/>
  <c r="AG90" i="20" s="1"/>
  <c r="AG93" i="20"/>
  <c r="AF112" i="20"/>
  <c r="AG112" i="20" s="1"/>
  <c r="AG54" i="20"/>
  <c r="AF105" i="20"/>
  <c r="AG105" i="20" s="1"/>
  <c r="AG108" i="20"/>
  <c r="AF19" i="20"/>
  <c r="AG19" i="20" s="1"/>
  <c r="AG24" i="20"/>
  <c r="AG34" i="20"/>
  <c r="AF51" i="20"/>
  <c r="AG51" i="20" s="1"/>
  <c r="AF83" i="20"/>
  <c r="AG88" i="20"/>
  <c r="AG20" i="20"/>
  <c r="AG52" i="20"/>
  <c r="AG84" i="20"/>
  <c r="AG106" i="20"/>
  <c r="AG43" i="20"/>
  <c r="AG75" i="20"/>
  <c r="AG85" i="20"/>
  <c r="AG107" i="20"/>
  <c r="AG68" i="20"/>
  <c r="AG100" i="20"/>
  <c r="AG83" i="20"/>
  <c r="AG115" i="20"/>
  <c r="AG91" i="20"/>
  <c r="AF16" i="20"/>
  <c r="AG56" i="19"/>
  <c r="AG70" i="19"/>
  <c r="AG72" i="19"/>
  <c r="AG88" i="19"/>
  <c r="AG38" i="19"/>
  <c r="AG45" i="19"/>
  <c r="AG59" i="19"/>
  <c r="AG75" i="19"/>
  <c r="AG24" i="19"/>
  <c r="AG46" i="19"/>
  <c r="AG62" i="19"/>
  <c r="AG64" i="19"/>
  <c r="AG94" i="19"/>
  <c r="AF16" i="19"/>
  <c r="D67" i="1"/>
  <c r="E67" i="1"/>
  <c r="D65" i="1"/>
  <c r="E65" i="1"/>
  <c r="AF48" i="8"/>
  <c r="AG48" i="8" s="1"/>
  <c r="AF110" i="8"/>
  <c r="AF37" i="8"/>
  <c r="AF42" i="8"/>
  <c r="AF58" i="8"/>
  <c r="AG58" i="8" s="1"/>
  <c r="AF103" i="8"/>
  <c r="AG103" i="8" s="1"/>
  <c r="AD116" i="8"/>
  <c r="AF32" i="8"/>
  <c r="AG32" i="8" s="1"/>
  <c r="AF53" i="8"/>
  <c r="AG53" i="8" s="1"/>
  <c r="AF69" i="8"/>
  <c r="AF85" i="8"/>
  <c r="AF90" i="8"/>
  <c r="AG90" i="8" s="1"/>
  <c r="AF106" i="8"/>
  <c r="AG106" i="8" s="1"/>
  <c r="AF51" i="8"/>
  <c r="AG51" i="8" s="1"/>
  <c r="AF67" i="8"/>
  <c r="AG67" i="8" s="1"/>
  <c r="AF83" i="8"/>
  <c r="AG83" i="8" s="1"/>
  <c r="AF96" i="8"/>
  <c r="AG96" i="8" s="1"/>
  <c r="AF112" i="8"/>
  <c r="AG22" i="8"/>
  <c r="AF25" i="8"/>
  <c r="AG25" i="8" s="1"/>
  <c r="AF33" i="8"/>
  <c r="AG33" i="8" s="1"/>
  <c r="AF99" i="8"/>
  <c r="AG99" i="8" s="1"/>
  <c r="AF28" i="8"/>
  <c r="AG28" i="8" s="1"/>
  <c r="AF57" i="8"/>
  <c r="AG57" i="8" s="1"/>
  <c r="AF65" i="8"/>
  <c r="AG65" i="8" s="1"/>
  <c r="AF73" i="8"/>
  <c r="AG73" i="8" s="1"/>
  <c r="AF86" i="8"/>
  <c r="AF23" i="8"/>
  <c r="AF39" i="8"/>
  <c r="AG39" i="8" s="1"/>
  <c r="AF44" i="8"/>
  <c r="AG44" i="8" s="1"/>
  <c r="AF76" i="8"/>
  <c r="AG76" i="8" s="1"/>
  <c r="AF97" i="8"/>
  <c r="AG97" i="8" s="1"/>
  <c r="AF105" i="8"/>
  <c r="AG105" i="8" s="1"/>
  <c r="AF113" i="8"/>
  <c r="AG113" i="8" s="1"/>
  <c r="AE116" i="8"/>
  <c r="AF24" i="8"/>
  <c r="AF29" i="8"/>
  <c r="AG29" i="8" s="1"/>
  <c r="AF34" i="8"/>
  <c r="AG34" i="8" s="1"/>
  <c r="AG37" i="8"/>
  <c r="AG42" i="8"/>
  <c r="AF47" i="8"/>
  <c r="AG47" i="8" s="1"/>
  <c r="AF52" i="8"/>
  <c r="AG52" i="8" s="1"/>
  <c r="AF62" i="8"/>
  <c r="AG62" i="8" s="1"/>
  <c r="AF75" i="8"/>
  <c r="AG75" i="8" s="1"/>
  <c r="AF88" i="8"/>
  <c r="AG88" i="8" s="1"/>
  <c r="AF93" i="8"/>
  <c r="AF98" i="8"/>
  <c r="AG98" i="8" s="1"/>
  <c r="AG101" i="8"/>
  <c r="AF111" i="8"/>
  <c r="AG111" i="8" s="1"/>
  <c r="AG93" i="8"/>
  <c r="AG19" i="8"/>
  <c r="AG70" i="8"/>
  <c r="AF27" i="8"/>
  <c r="AG27" i="8" s="1"/>
  <c r="AF40" i="8"/>
  <c r="AG40" i="8" s="1"/>
  <c r="AF45" i="8"/>
  <c r="AG45" i="8" s="1"/>
  <c r="AF50" i="8"/>
  <c r="AG50" i="8" s="1"/>
  <c r="AF60" i="8"/>
  <c r="AG60" i="8" s="1"/>
  <c r="AF63" i="8"/>
  <c r="AG63" i="8" s="1"/>
  <c r="AF78" i="8"/>
  <c r="AG78" i="8" s="1"/>
  <c r="AF91" i="8"/>
  <c r="AG91" i="8" s="1"/>
  <c r="AF104" i="8"/>
  <c r="AG104" i="8" s="1"/>
  <c r="AF109" i="8"/>
  <c r="AG109" i="8" s="1"/>
  <c r="AG112" i="8"/>
  <c r="AF114" i="8"/>
  <c r="AG114" i="8" s="1"/>
  <c r="AG68" i="8"/>
  <c r="AG86" i="8"/>
  <c r="AF20" i="8"/>
  <c r="AG20" i="8" s="1"/>
  <c r="AG23" i="8"/>
  <c r="AF30" i="8"/>
  <c r="AG30" i="8" s="1"/>
  <c r="AF43" i="8"/>
  <c r="AG43" i="8" s="1"/>
  <c r="AF56" i="8"/>
  <c r="AG56" i="8" s="1"/>
  <c r="AF61" i="8"/>
  <c r="AG61" i="8" s="1"/>
  <c r="AG64" i="8"/>
  <c r="AF66" i="8"/>
  <c r="AG69" i="8"/>
  <c r="AG74" i="8"/>
  <c r="AF79" i="8"/>
  <c r="AG79" i="8" s="1"/>
  <c r="AF84" i="8"/>
  <c r="AG84" i="8" s="1"/>
  <c r="AG87" i="8"/>
  <c r="AF94" i="8"/>
  <c r="AG94" i="8" s="1"/>
  <c r="AF107" i="8"/>
  <c r="AG107" i="8" s="1"/>
  <c r="AG24" i="8"/>
  <c r="AF115" i="8"/>
  <c r="AG115" i="8" s="1"/>
  <c r="AG38" i="8"/>
  <c r="AF18" i="8"/>
  <c r="AG18" i="8" s="1"/>
  <c r="AF31" i="8"/>
  <c r="AG31" i="8" s="1"/>
  <c r="AF36" i="8"/>
  <c r="AG36" i="8" s="1"/>
  <c r="AF46" i="8"/>
  <c r="AG46" i="8" s="1"/>
  <c r="AF59" i="8"/>
  <c r="AF72" i="8"/>
  <c r="AG72" i="8" s="1"/>
  <c r="AF77" i="8"/>
  <c r="AG77" i="8" s="1"/>
  <c r="AF82" i="8"/>
  <c r="AG82" i="8" s="1"/>
  <c r="AF95" i="8"/>
  <c r="AG95" i="8" s="1"/>
  <c r="AF100" i="8"/>
  <c r="AG100" i="8" s="1"/>
  <c r="AG110" i="8"/>
  <c r="AG66" i="8"/>
  <c r="AG59" i="8"/>
  <c r="AG21" i="8"/>
  <c r="AG26" i="8"/>
  <c r="AG80" i="8"/>
  <c r="AG85" i="8"/>
  <c r="AF16" i="8"/>
  <c r="AG85" i="10"/>
  <c r="AG68" i="10"/>
  <c r="AG21" i="10"/>
  <c r="AG26" i="10"/>
  <c r="AG31" i="10"/>
  <c r="AG61" i="10"/>
  <c r="AG93" i="10"/>
  <c r="AF16" i="10"/>
  <c r="AG41" i="9"/>
  <c r="AG98" i="9"/>
  <c r="AG39" i="9"/>
  <c r="AG44" i="9"/>
  <c r="AG71" i="9"/>
  <c r="AG76" i="9"/>
  <c r="AG81" i="9"/>
  <c r="AG103" i="9"/>
  <c r="AG108" i="9"/>
  <c r="AG26" i="9"/>
  <c r="AG74" i="9"/>
  <c r="AG106" i="9"/>
  <c r="AG17" i="9"/>
  <c r="AG33" i="9"/>
  <c r="AG47" i="9"/>
  <c r="AG52" i="9"/>
  <c r="AG79" i="9"/>
  <c r="AG84" i="9"/>
  <c r="AG89" i="9"/>
  <c r="AG111" i="9"/>
  <c r="D14" i="1"/>
  <c r="Z5" i="17"/>
  <c r="Z6" i="17"/>
  <c r="Z7" i="17"/>
  <c r="Z8" i="17"/>
  <c r="Z9" i="17"/>
  <c r="Z10" i="17"/>
  <c r="Z11" i="17"/>
  <c r="Z12" i="17"/>
  <c r="Z3" i="17"/>
  <c r="Z4" i="17"/>
  <c r="Y5" i="17"/>
  <c r="Y6" i="17"/>
  <c r="Y7" i="17"/>
  <c r="Y8" i="17"/>
  <c r="Y9" i="17"/>
  <c r="Y10" i="17"/>
  <c r="Y11" i="17"/>
  <c r="Y12" i="17"/>
  <c r="Y3" i="17"/>
  <c r="X3" i="17"/>
  <c r="X5" i="17"/>
  <c r="X6" i="17"/>
  <c r="X7" i="17"/>
  <c r="X8" i="17"/>
  <c r="X9" i="17"/>
  <c r="X10" i="17"/>
  <c r="X11" i="17"/>
  <c r="X12" i="17"/>
  <c r="X4" i="17"/>
  <c r="Y4" i="17"/>
  <c r="Z3" i="16"/>
  <c r="Z4" i="16"/>
  <c r="Z5" i="16"/>
  <c r="Z6" i="16"/>
  <c r="Z8" i="16"/>
  <c r="Z9" i="16"/>
  <c r="Z10" i="16"/>
  <c r="Z11" i="16"/>
  <c r="Z12" i="16"/>
  <c r="Z7" i="16"/>
  <c r="Y8" i="16"/>
  <c r="Y9" i="16"/>
  <c r="Y10" i="16"/>
  <c r="Y11" i="16"/>
  <c r="Y12" i="16"/>
  <c r="Y3" i="16"/>
  <c r="Y4" i="16"/>
  <c r="Y5" i="16"/>
  <c r="Y6" i="16"/>
  <c r="X3" i="16"/>
  <c r="X4" i="16"/>
  <c r="X5" i="16"/>
  <c r="X6" i="16"/>
  <c r="X8" i="16"/>
  <c r="X9" i="16"/>
  <c r="X10" i="16"/>
  <c r="X11" i="16"/>
  <c r="X12" i="16"/>
  <c r="X7" i="16"/>
  <c r="Y7" i="16"/>
  <c r="X3" i="15"/>
  <c r="X4" i="15"/>
  <c r="X6" i="15"/>
  <c r="X7" i="15"/>
  <c r="X8" i="15"/>
  <c r="X9" i="15"/>
  <c r="X10" i="15"/>
  <c r="X11" i="15"/>
  <c r="X12" i="15"/>
  <c r="Z4" i="15"/>
  <c r="Z5" i="15"/>
  <c r="Z6" i="15"/>
  <c r="Z7" i="15"/>
  <c r="Z8" i="15"/>
  <c r="Z9" i="15"/>
  <c r="Z10" i="15"/>
  <c r="Z11" i="15"/>
  <c r="Z12" i="15"/>
  <c r="Z3" i="15"/>
  <c r="Y6" i="15"/>
  <c r="Y7" i="15"/>
  <c r="Y8" i="15"/>
  <c r="Y9" i="15"/>
  <c r="Y10" i="15"/>
  <c r="Y11" i="15"/>
  <c r="Y12" i="15"/>
  <c r="Y3" i="15"/>
  <c r="Y4" i="15"/>
  <c r="X5" i="15"/>
  <c r="Y5" i="15"/>
  <c r="Z4" i="21"/>
  <c r="Z5" i="21"/>
  <c r="Z6" i="21"/>
  <c r="Z7" i="21"/>
  <c r="Z8" i="21"/>
  <c r="Z9" i="21"/>
  <c r="Z10" i="21"/>
  <c r="Z11" i="21"/>
  <c r="Z12" i="21"/>
  <c r="Z3" i="21"/>
  <c r="Y4" i="21"/>
  <c r="Y5" i="21"/>
  <c r="Y6" i="21"/>
  <c r="Y7" i="21"/>
  <c r="Y8" i="21"/>
  <c r="Y9" i="21"/>
  <c r="Y10" i="21"/>
  <c r="Y11" i="21"/>
  <c r="Y12" i="21"/>
  <c r="Y3" i="21"/>
  <c r="X4" i="21"/>
  <c r="X5" i="21"/>
  <c r="X6" i="21"/>
  <c r="X7" i="21"/>
  <c r="X8" i="21"/>
  <c r="X9" i="21"/>
  <c r="X10" i="21"/>
  <c r="X11" i="21"/>
  <c r="X12" i="21"/>
  <c r="X3" i="21"/>
  <c r="AG116" i="9" l="1"/>
  <c r="G72" i="1" s="1"/>
  <c r="AF116" i="9"/>
  <c r="F72" i="1" s="1"/>
  <c r="AF116" i="19"/>
  <c r="F66" i="1" s="1"/>
  <c r="AF116" i="20"/>
  <c r="F80" i="1" s="1"/>
  <c r="AG16" i="20"/>
  <c r="AG116" i="20" s="1"/>
  <c r="G80" i="1" s="1"/>
  <c r="AG16" i="19"/>
  <c r="AG116" i="19" s="1"/>
  <c r="G66" i="1" s="1"/>
  <c r="F65" i="1"/>
  <c r="AF116" i="8"/>
  <c r="F67" i="1"/>
  <c r="G67" i="1"/>
  <c r="G65" i="1"/>
  <c r="AG16" i="8"/>
  <c r="AG116" i="8" s="1"/>
  <c r="AG16" i="10"/>
  <c r="AG116" i="10" s="1"/>
  <c r="G79" i="1" s="1"/>
  <c r="AF116" i="10"/>
  <c r="F79" i="1" s="1"/>
  <c r="Z4" i="18"/>
  <c r="Z5" i="18"/>
  <c r="Z6" i="18"/>
  <c r="Z7" i="18"/>
  <c r="Z8" i="18"/>
  <c r="Z9" i="18"/>
  <c r="Z10" i="18"/>
  <c r="Z11" i="18"/>
  <c r="Z12" i="18"/>
  <c r="Z3" i="18"/>
  <c r="Y4" i="18"/>
  <c r="Y5" i="18"/>
  <c r="Y6" i="18"/>
  <c r="Y7" i="18"/>
  <c r="Y8" i="18"/>
  <c r="Y9" i="18"/>
  <c r="Y10" i="18"/>
  <c r="Y11" i="18"/>
  <c r="Y12" i="18"/>
  <c r="Y3" i="18"/>
  <c r="X4" i="18"/>
  <c r="X5" i="18"/>
  <c r="X6" i="18"/>
  <c r="X7" i="18"/>
  <c r="X8" i="18"/>
  <c r="X9" i="18"/>
  <c r="X10" i="18"/>
  <c r="X11" i="18"/>
  <c r="X12" i="18"/>
  <c r="X3" i="18"/>
  <c r="AJ4" i="12"/>
  <c r="AJ5" i="12"/>
  <c r="AJ6" i="12"/>
  <c r="AJ7" i="12"/>
  <c r="AJ8" i="12"/>
  <c r="AJ9" i="12"/>
  <c r="AJ10" i="12"/>
  <c r="AJ11" i="12"/>
  <c r="AJ12" i="12"/>
  <c r="AJ3" i="12"/>
  <c r="AI4" i="12"/>
  <c r="AI5" i="12"/>
  <c r="AI6" i="12"/>
  <c r="AI7" i="12"/>
  <c r="AI8" i="12"/>
  <c r="AI9" i="12"/>
  <c r="AI10" i="12"/>
  <c r="AI11" i="12"/>
  <c r="AI12" i="12"/>
  <c r="AI3" i="12"/>
  <c r="AH4" i="12"/>
  <c r="AH5" i="12"/>
  <c r="AH6" i="12"/>
  <c r="AH7" i="12"/>
  <c r="AH8" i="12"/>
  <c r="AH9" i="12"/>
  <c r="AH10" i="12"/>
  <c r="AH11" i="12"/>
  <c r="AH12" i="12"/>
  <c r="AH3" i="12"/>
  <c r="AK4" i="12"/>
  <c r="AK3" i="12"/>
  <c r="Y9" i="11"/>
  <c r="Y8" i="11"/>
  <c r="Z12" i="11"/>
  <c r="Z4" i="11"/>
  <c r="Z5" i="11"/>
  <c r="Z6" i="11"/>
  <c r="Z7" i="11"/>
  <c r="Z8" i="11"/>
  <c r="Z9" i="11"/>
  <c r="Z10" i="11"/>
  <c r="Z11" i="11"/>
  <c r="Z3" i="11"/>
  <c r="Y4" i="11"/>
  <c r="Y5" i="11"/>
  <c r="Y6" i="11"/>
  <c r="Y7" i="11"/>
  <c r="Y10" i="11"/>
  <c r="Y11" i="11"/>
  <c r="Y12" i="11"/>
  <c r="AA12" i="11" s="1"/>
  <c r="Y3" i="11"/>
  <c r="X4" i="11"/>
  <c r="X5" i="11"/>
  <c r="X6" i="11"/>
  <c r="X7" i="11"/>
  <c r="X8" i="11"/>
  <c r="X9" i="11"/>
  <c r="X10" i="11"/>
  <c r="X11" i="11"/>
  <c r="X12" i="11"/>
  <c r="X3" i="11"/>
  <c r="X4" i="6"/>
  <c r="X5" i="6"/>
  <c r="X6" i="6"/>
  <c r="X7" i="6"/>
  <c r="X8" i="6"/>
  <c r="X9" i="6"/>
  <c r="X10" i="6"/>
  <c r="X11" i="6"/>
  <c r="X12" i="6"/>
  <c r="X3" i="6"/>
  <c r="Y4" i="6"/>
  <c r="Y5" i="6"/>
  <c r="Y6" i="6"/>
  <c r="Y7" i="6"/>
  <c r="Y8" i="6"/>
  <c r="Y9" i="6"/>
  <c r="Y10" i="6"/>
  <c r="Y11" i="6"/>
  <c r="Y12" i="6"/>
  <c r="Y3" i="6"/>
  <c r="Z4" i="6"/>
  <c r="Z5" i="6"/>
  <c r="Z6" i="6"/>
  <c r="Z7" i="6"/>
  <c r="Z8" i="6"/>
  <c r="Z9" i="6"/>
  <c r="Z10" i="6"/>
  <c r="Z11" i="6"/>
  <c r="Z12" i="6"/>
  <c r="Z3" i="6"/>
  <c r="U3" i="4"/>
  <c r="U4" i="4"/>
  <c r="U5" i="4"/>
  <c r="U6" i="4"/>
  <c r="U7" i="4"/>
  <c r="U8" i="4"/>
  <c r="U9" i="4"/>
  <c r="U10" i="4"/>
  <c r="U11" i="4"/>
  <c r="U12" i="4"/>
  <c r="G6" i="1"/>
  <c r="G7" i="1"/>
  <c r="G8" i="1"/>
  <c r="G11" i="1"/>
  <c r="W5" i="10"/>
  <c r="W13" i="7"/>
  <c r="W12" i="7"/>
  <c r="W11" i="7"/>
  <c r="W10" i="7"/>
  <c r="W9" i="7"/>
  <c r="W8" i="7"/>
  <c r="W7" i="7"/>
  <c r="W6" i="7"/>
  <c r="W5" i="7"/>
  <c r="W4" i="7"/>
  <c r="W3" i="7"/>
  <c r="W12" i="2"/>
  <c r="W11" i="2"/>
  <c r="W10" i="2"/>
  <c r="W9" i="2"/>
  <c r="W8" i="2"/>
  <c r="W7" i="2"/>
  <c r="W6" i="2"/>
  <c r="W5" i="2"/>
  <c r="W4" i="2"/>
  <c r="W13" i="2" s="1"/>
  <c r="W3" i="2"/>
  <c r="W3" i="3"/>
  <c r="W11" i="3"/>
  <c r="W12" i="3"/>
  <c r="W10" i="3"/>
  <c r="W9" i="3"/>
  <c r="W8" i="3"/>
  <c r="W7" i="3"/>
  <c r="W6" i="3"/>
  <c r="W5" i="3"/>
  <c r="W4" i="3"/>
  <c r="W13" i="3" s="1"/>
  <c r="AB4" i="5"/>
  <c r="AB5" i="5"/>
  <c r="AB6" i="5"/>
  <c r="AB7" i="5"/>
  <c r="AB3" i="5"/>
  <c r="Z4" i="5"/>
  <c r="Z5" i="5"/>
  <c r="Z6" i="5"/>
  <c r="Z7" i="5"/>
  <c r="Z8" i="5"/>
  <c r="Z9" i="5"/>
  <c r="Z10" i="5"/>
  <c r="Z11" i="5"/>
  <c r="Z12" i="5"/>
  <c r="Z3" i="5"/>
  <c r="Y4" i="5"/>
  <c r="Y5" i="5"/>
  <c r="Y6" i="5"/>
  <c r="Y7" i="5"/>
  <c r="Y8" i="5"/>
  <c r="Y9" i="5"/>
  <c r="Y10" i="5"/>
  <c r="Y11" i="5"/>
  <c r="Y12" i="5"/>
  <c r="Y3" i="5"/>
  <c r="X4" i="5"/>
  <c r="X5" i="5"/>
  <c r="X6" i="5"/>
  <c r="X7" i="5"/>
  <c r="X8" i="5"/>
  <c r="X9" i="5"/>
  <c r="X10" i="5"/>
  <c r="X11" i="5"/>
  <c r="X12" i="5"/>
  <c r="X3" i="5"/>
  <c r="U12" i="2"/>
  <c r="T12" i="2"/>
  <c r="V12" i="2" s="1"/>
  <c r="U11" i="2"/>
  <c r="T11" i="2"/>
  <c r="V11" i="2" s="1"/>
  <c r="U10" i="2"/>
  <c r="V10" i="2" s="1"/>
  <c r="T10" i="2"/>
  <c r="U9" i="2"/>
  <c r="T9" i="2"/>
  <c r="V9" i="2" s="1"/>
  <c r="U8" i="2"/>
  <c r="T8" i="2"/>
  <c r="V8" i="2" s="1"/>
  <c r="V7" i="2"/>
  <c r="U7" i="2"/>
  <c r="T7" i="2"/>
  <c r="V6" i="2"/>
  <c r="U6" i="2"/>
  <c r="T6" i="2"/>
  <c r="U5" i="2"/>
  <c r="T5" i="2"/>
  <c r="V5" i="2" s="1"/>
  <c r="U4" i="2"/>
  <c r="T4" i="2"/>
  <c r="V4" i="2" s="1"/>
  <c r="V3" i="2"/>
  <c r="U3" i="2"/>
  <c r="T3" i="2"/>
  <c r="U12" i="3"/>
  <c r="T12" i="3"/>
  <c r="V12" i="3" s="1"/>
  <c r="U11" i="3"/>
  <c r="T11" i="3"/>
  <c r="V11" i="3" s="1"/>
  <c r="U10" i="3"/>
  <c r="V10" i="3" s="1"/>
  <c r="T10" i="3"/>
  <c r="V9" i="3"/>
  <c r="U9" i="3"/>
  <c r="T9" i="3"/>
  <c r="U8" i="3"/>
  <c r="T8" i="3"/>
  <c r="V8" i="3" s="1"/>
  <c r="V7" i="3"/>
  <c r="U7" i="3"/>
  <c r="T7" i="3"/>
  <c r="U6" i="3"/>
  <c r="T6" i="3"/>
  <c r="V6" i="3" s="1"/>
  <c r="U5" i="3"/>
  <c r="T5" i="3"/>
  <c r="V5" i="3" s="1"/>
  <c r="U4" i="3"/>
  <c r="T4" i="3"/>
  <c r="V4" i="3" s="1"/>
  <c r="U3" i="3"/>
  <c r="T3" i="3"/>
  <c r="V3" i="3" s="1"/>
  <c r="T12" i="4"/>
  <c r="T11" i="4"/>
  <c r="T10" i="4"/>
  <c r="T9" i="4"/>
  <c r="T8" i="4"/>
  <c r="T7" i="4"/>
  <c r="T6" i="4"/>
  <c r="T5" i="4"/>
  <c r="T4" i="4"/>
  <c r="T3" i="4"/>
  <c r="U12" i="7"/>
  <c r="V12" i="7" s="1"/>
  <c r="T12" i="7"/>
  <c r="U11" i="7"/>
  <c r="T11" i="7"/>
  <c r="V11" i="7" s="1"/>
  <c r="U10" i="7"/>
  <c r="T10" i="7"/>
  <c r="V10" i="7" s="1"/>
  <c r="V9" i="7"/>
  <c r="U9" i="7"/>
  <c r="T9" i="7"/>
  <c r="V8" i="7"/>
  <c r="U8" i="7"/>
  <c r="T8" i="7"/>
  <c r="U7" i="7"/>
  <c r="T7" i="7"/>
  <c r="V7" i="7" s="1"/>
  <c r="U6" i="7"/>
  <c r="T6" i="7"/>
  <c r="V6" i="7" s="1"/>
  <c r="U5" i="7"/>
  <c r="T5" i="7"/>
  <c r="T13" i="7" s="1"/>
  <c r="D11" i="1" s="1"/>
  <c r="U4" i="7"/>
  <c r="V4" i="7" s="1"/>
  <c r="T4" i="7"/>
  <c r="U3" i="7"/>
  <c r="U13" i="7" s="1"/>
  <c r="E11" i="1" s="1"/>
  <c r="T3" i="7"/>
  <c r="V3" i="7" s="1"/>
  <c r="U12" i="8"/>
  <c r="T12" i="8"/>
  <c r="U11" i="8"/>
  <c r="T11" i="8"/>
  <c r="U10" i="8"/>
  <c r="T10" i="8"/>
  <c r="U9" i="8"/>
  <c r="T9" i="8"/>
  <c r="U8" i="8"/>
  <c r="T8" i="8"/>
  <c r="U7" i="8"/>
  <c r="T7" i="8"/>
  <c r="U6" i="8"/>
  <c r="T6" i="8"/>
  <c r="U5" i="8"/>
  <c r="T5" i="8"/>
  <c r="U4" i="8"/>
  <c r="T4" i="8"/>
  <c r="U3" i="8"/>
  <c r="T3" i="8"/>
  <c r="U12" i="9"/>
  <c r="T12" i="9"/>
  <c r="U11" i="9"/>
  <c r="T11" i="9"/>
  <c r="V11" i="9" s="1"/>
  <c r="W11" i="9" s="1"/>
  <c r="U10" i="9"/>
  <c r="T10" i="9"/>
  <c r="U9" i="9"/>
  <c r="T9" i="9"/>
  <c r="U8" i="9"/>
  <c r="T8" i="9"/>
  <c r="U7" i="9"/>
  <c r="T7" i="9"/>
  <c r="V7" i="9" s="1"/>
  <c r="U6" i="9"/>
  <c r="T6" i="9"/>
  <c r="U5" i="9"/>
  <c r="T5" i="9"/>
  <c r="U4" i="9"/>
  <c r="T4" i="9"/>
  <c r="U3" i="9"/>
  <c r="T3" i="9"/>
  <c r="U12" i="10"/>
  <c r="T12" i="10"/>
  <c r="U11" i="10"/>
  <c r="T11" i="10"/>
  <c r="U10" i="10"/>
  <c r="T10" i="10"/>
  <c r="U9" i="10"/>
  <c r="T9" i="10"/>
  <c r="U8" i="10"/>
  <c r="T8" i="10"/>
  <c r="U7" i="10"/>
  <c r="T7" i="10"/>
  <c r="V7" i="10" s="1"/>
  <c r="U6" i="10"/>
  <c r="T6" i="10"/>
  <c r="U5" i="10"/>
  <c r="T5" i="10"/>
  <c r="V5" i="10" s="1"/>
  <c r="U4" i="10"/>
  <c r="T4" i="10"/>
  <c r="U3" i="10"/>
  <c r="T3" i="10"/>
  <c r="Z12" i="13"/>
  <c r="Y12" i="13"/>
  <c r="AA12" i="13" s="1"/>
  <c r="Z11" i="13"/>
  <c r="Y11" i="13"/>
  <c r="AA11" i="13" s="1"/>
  <c r="Z10" i="13"/>
  <c r="Y10" i="13"/>
  <c r="Z9" i="13"/>
  <c r="Y9" i="13"/>
  <c r="Z8" i="13"/>
  <c r="Y8" i="13"/>
  <c r="AA8" i="13" s="1"/>
  <c r="AB8" i="13" s="1"/>
  <c r="Z7" i="13"/>
  <c r="Y7" i="13"/>
  <c r="Z6" i="13"/>
  <c r="Y6" i="13"/>
  <c r="AA6" i="13" s="1"/>
  <c r="Z5" i="13"/>
  <c r="Y5" i="13"/>
  <c r="Z4" i="13"/>
  <c r="Y4" i="13"/>
  <c r="Z3" i="13"/>
  <c r="Y3" i="13"/>
  <c r="U12" i="14"/>
  <c r="T12" i="14"/>
  <c r="U11" i="14"/>
  <c r="T11" i="14"/>
  <c r="U10" i="14"/>
  <c r="T10" i="14"/>
  <c r="U9" i="14"/>
  <c r="T9" i="14"/>
  <c r="U8" i="14"/>
  <c r="T8" i="14"/>
  <c r="U7" i="14"/>
  <c r="T7" i="14"/>
  <c r="U6" i="14"/>
  <c r="T6" i="14"/>
  <c r="U5" i="14"/>
  <c r="T5" i="14"/>
  <c r="U4" i="14"/>
  <c r="T4" i="14"/>
  <c r="U3" i="14"/>
  <c r="T3" i="14"/>
  <c r="AA7" i="15"/>
  <c r="AB7" i="15" s="1"/>
  <c r="AA5" i="16"/>
  <c r="AB5" i="16" s="1"/>
  <c r="AA12" i="17"/>
  <c r="AB12" i="17" s="1"/>
  <c r="AA10" i="17"/>
  <c r="AB10" i="17" s="1"/>
  <c r="AA9" i="17"/>
  <c r="AB9" i="17" s="1"/>
  <c r="AA8" i="17"/>
  <c r="AA7" i="17"/>
  <c r="U12" i="19"/>
  <c r="T12" i="19"/>
  <c r="U11" i="19"/>
  <c r="T11" i="19"/>
  <c r="U10" i="19"/>
  <c r="T10" i="19"/>
  <c r="U9" i="19"/>
  <c r="T9" i="19"/>
  <c r="U8" i="19"/>
  <c r="T8" i="19"/>
  <c r="U7" i="19"/>
  <c r="T7" i="19"/>
  <c r="U6" i="19"/>
  <c r="T6" i="19"/>
  <c r="U5" i="19"/>
  <c r="T5" i="19"/>
  <c r="U4" i="19"/>
  <c r="T4" i="19"/>
  <c r="U3" i="19"/>
  <c r="T3" i="19"/>
  <c r="U12" i="20"/>
  <c r="T12" i="20"/>
  <c r="U11" i="20"/>
  <c r="T11" i="20"/>
  <c r="U10" i="20"/>
  <c r="T10" i="20"/>
  <c r="U9" i="20"/>
  <c r="T9" i="20"/>
  <c r="U8" i="20"/>
  <c r="T8" i="20"/>
  <c r="U7" i="20"/>
  <c r="T7" i="20"/>
  <c r="U6" i="20"/>
  <c r="T6" i="20"/>
  <c r="U5" i="20"/>
  <c r="T5" i="20"/>
  <c r="U4" i="20"/>
  <c r="T4" i="20"/>
  <c r="U3" i="20"/>
  <c r="T3" i="20"/>
  <c r="AA4" i="21"/>
  <c r="AB4" i="21" s="1"/>
  <c r="AA5" i="21"/>
  <c r="AB5" i="21" s="1"/>
  <c r="AA6" i="21"/>
  <c r="AB6" i="21" s="1"/>
  <c r="AA7" i="21"/>
  <c r="AB7" i="21" s="1"/>
  <c r="AA8" i="21"/>
  <c r="AB8" i="21" s="1"/>
  <c r="AA9" i="21"/>
  <c r="AB9" i="21" s="1"/>
  <c r="AA10" i="21"/>
  <c r="AB10" i="21" s="1"/>
  <c r="AA11" i="21"/>
  <c r="AB11" i="21" s="1"/>
  <c r="AA12" i="21"/>
  <c r="AB12" i="21" s="1"/>
  <c r="AA3" i="21"/>
  <c r="AB3" i="21" s="1"/>
  <c r="S12" i="20"/>
  <c r="S11" i="20"/>
  <c r="S10" i="20"/>
  <c r="S9" i="20"/>
  <c r="S8" i="20"/>
  <c r="S7" i="20"/>
  <c r="S6" i="20"/>
  <c r="S5" i="20"/>
  <c r="S4" i="20"/>
  <c r="S3" i="20"/>
  <c r="S12" i="19"/>
  <c r="S11" i="19"/>
  <c r="S10" i="19"/>
  <c r="S9" i="19"/>
  <c r="S8" i="19"/>
  <c r="S7" i="19"/>
  <c r="S6" i="19"/>
  <c r="S5" i="19"/>
  <c r="S4" i="19"/>
  <c r="S3" i="19"/>
  <c r="S12" i="14"/>
  <c r="S11" i="14"/>
  <c r="S10" i="14"/>
  <c r="S9" i="14"/>
  <c r="S8" i="14"/>
  <c r="S7" i="14"/>
  <c r="S6" i="14"/>
  <c r="S5" i="14"/>
  <c r="S4" i="14"/>
  <c r="S3" i="14"/>
  <c r="X12" i="13"/>
  <c r="X11" i="13"/>
  <c r="X10" i="13"/>
  <c r="X9" i="13"/>
  <c r="X8" i="13"/>
  <c r="X7" i="13"/>
  <c r="X6" i="13"/>
  <c r="X5" i="13"/>
  <c r="X4" i="13"/>
  <c r="X3" i="13"/>
  <c r="S12" i="10"/>
  <c r="S11" i="10"/>
  <c r="S10" i="10"/>
  <c r="S9" i="10"/>
  <c r="S8" i="10"/>
  <c r="S7" i="10"/>
  <c r="W7" i="10" s="1"/>
  <c r="S6" i="10"/>
  <c r="S5" i="10"/>
  <c r="S4" i="10"/>
  <c r="S3" i="10"/>
  <c r="S12" i="9"/>
  <c r="S11" i="9"/>
  <c r="S10" i="9"/>
  <c r="S9" i="9"/>
  <c r="S8" i="9"/>
  <c r="S7" i="9"/>
  <c r="S6" i="9"/>
  <c r="S5" i="9"/>
  <c r="S4" i="9"/>
  <c r="S3" i="9"/>
  <c r="S12" i="8"/>
  <c r="S11" i="8"/>
  <c r="S10" i="8"/>
  <c r="S9" i="8"/>
  <c r="S8" i="8"/>
  <c r="S7" i="8"/>
  <c r="S6" i="8"/>
  <c r="S5" i="8"/>
  <c r="S4" i="8"/>
  <c r="S3" i="8"/>
  <c r="S12" i="7"/>
  <c r="S11" i="7"/>
  <c r="S10" i="7"/>
  <c r="S9" i="7"/>
  <c r="S8" i="7"/>
  <c r="S7" i="7"/>
  <c r="S6" i="7"/>
  <c r="S5" i="7"/>
  <c r="S4" i="7"/>
  <c r="S3" i="7"/>
  <c r="S12" i="4"/>
  <c r="S11" i="4"/>
  <c r="S10" i="4"/>
  <c r="S9" i="4"/>
  <c r="S8" i="4"/>
  <c r="S7" i="4"/>
  <c r="S6" i="4"/>
  <c r="S5" i="4"/>
  <c r="S4" i="4"/>
  <c r="S3" i="4"/>
  <c r="AA11" i="17" l="1"/>
  <c r="AB11" i="17" s="1"/>
  <c r="AB8" i="17"/>
  <c r="AB7" i="17"/>
  <c r="AA6" i="17"/>
  <c r="AB6" i="17" s="1"/>
  <c r="AA5" i="17"/>
  <c r="AB5" i="17" s="1"/>
  <c r="AA4" i="17"/>
  <c r="AB4" i="17" s="1"/>
  <c r="Z13" i="17"/>
  <c r="E21" i="1" s="1"/>
  <c r="AA3" i="17"/>
  <c r="AB3" i="17" s="1"/>
  <c r="AA12" i="16"/>
  <c r="AB12" i="16" s="1"/>
  <c r="AA11" i="16"/>
  <c r="AB11" i="16" s="1"/>
  <c r="AA10" i="16"/>
  <c r="AB10" i="16" s="1"/>
  <c r="AA9" i="16"/>
  <c r="AB9" i="16" s="1"/>
  <c r="AA8" i="16"/>
  <c r="AB8" i="16" s="1"/>
  <c r="AA7" i="16"/>
  <c r="AB7" i="16" s="1"/>
  <c r="Z13" i="16"/>
  <c r="E20" i="1" s="1"/>
  <c r="AA6" i="16"/>
  <c r="AB6" i="16" s="1"/>
  <c r="AA4" i="16"/>
  <c r="AB4" i="16" s="1"/>
  <c r="AA3" i="16"/>
  <c r="AB3" i="16" s="1"/>
  <c r="Y13" i="16"/>
  <c r="D20" i="1" s="1"/>
  <c r="AA12" i="15"/>
  <c r="AB12" i="15" s="1"/>
  <c r="AA11" i="15"/>
  <c r="AB11" i="15" s="1"/>
  <c r="AA10" i="15"/>
  <c r="AB10" i="15" s="1"/>
  <c r="AA9" i="15"/>
  <c r="AB9" i="15" s="1"/>
  <c r="AA8" i="15"/>
  <c r="AB8" i="15" s="1"/>
  <c r="AA6" i="15"/>
  <c r="AB6" i="15" s="1"/>
  <c r="AA5" i="15"/>
  <c r="AB5" i="15" s="1"/>
  <c r="AA3" i="15"/>
  <c r="AB3" i="15" s="1"/>
  <c r="Z13" i="15"/>
  <c r="E19" i="1" s="1"/>
  <c r="AB13" i="21"/>
  <c r="G25" i="1" s="1"/>
  <c r="V12" i="20"/>
  <c r="W12" i="20" s="1"/>
  <c r="V11" i="20"/>
  <c r="W11" i="20" s="1"/>
  <c r="V10" i="20"/>
  <c r="W10" i="20" s="1"/>
  <c r="V9" i="20"/>
  <c r="W9" i="20" s="1"/>
  <c r="V8" i="20"/>
  <c r="W8" i="20" s="1"/>
  <c r="V7" i="20"/>
  <c r="W7" i="20" s="1"/>
  <c r="V6" i="20"/>
  <c r="W6" i="20" s="1"/>
  <c r="V5" i="20"/>
  <c r="W5" i="20" s="1"/>
  <c r="V4" i="20"/>
  <c r="W4" i="20" s="1"/>
  <c r="U13" i="20"/>
  <c r="E24" i="1" s="1"/>
  <c r="V3" i="20"/>
  <c r="W3" i="20" s="1"/>
  <c r="V12" i="19"/>
  <c r="W12" i="19" s="1"/>
  <c r="V11" i="19"/>
  <c r="W11" i="19" s="1"/>
  <c r="V10" i="19"/>
  <c r="W10" i="19" s="1"/>
  <c r="V9" i="19"/>
  <c r="W9" i="19" s="1"/>
  <c r="V8" i="19"/>
  <c r="W8" i="19" s="1"/>
  <c r="V6" i="19"/>
  <c r="W6" i="19" s="1"/>
  <c r="V5" i="19"/>
  <c r="W5" i="19" s="1"/>
  <c r="V4" i="19"/>
  <c r="W4" i="19" s="1"/>
  <c r="V3" i="19"/>
  <c r="W3" i="19" s="1"/>
  <c r="T13" i="19"/>
  <c r="D23" i="1" s="1"/>
  <c r="U13" i="19"/>
  <c r="E23" i="1" s="1"/>
  <c r="AA12" i="18"/>
  <c r="AB12" i="18" s="1"/>
  <c r="AA11" i="18"/>
  <c r="AB11" i="18" s="1"/>
  <c r="AA10" i="18"/>
  <c r="AB10" i="18" s="1"/>
  <c r="AA9" i="18"/>
  <c r="AB9" i="18" s="1"/>
  <c r="AA8" i="18"/>
  <c r="AB8" i="18" s="1"/>
  <c r="AA7" i="18"/>
  <c r="AB7" i="18" s="1"/>
  <c r="AA6" i="18"/>
  <c r="AB6" i="18" s="1"/>
  <c r="AA5" i="18"/>
  <c r="AB5" i="18" s="1"/>
  <c r="AA4" i="18"/>
  <c r="AB4" i="18" s="1"/>
  <c r="AA3" i="18"/>
  <c r="AB3" i="18" s="1"/>
  <c r="V12" i="14"/>
  <c r="W12" i="14" s="1"/>
  <c r="V11" i="14"/>
  <c r="W11" i="14" s="1"/>
  <c r="V10" i="14"/>
  <c r="W10" i="14" s="1"/>
  <c r="V9" i="14"/>
  <c r="W9" i="14" s="1"/>
  <c r="V8" i="14"/>
  <c r="W8" i="14" s="1"/>
  <c r="V7" i="14"/>
  <c r="W7" i="14" s="1"/>
  <c r="V6" i="14"/>
  <c r="W6" i="14" s="1"/>
  <c r="V5" i="14"/>
  <c r="W5" i="14" s="1"/>
  <c r="V4" i="14"/>
  <c r="W4" i="14" s="1"/>
  <c r="U13" i="14"/>
  <c r="E18" i="1" s="1"/>
  <c r="V3" i="14"/>
  <c r="W3" i="14" s="1"/>
  <c r="AB12" i="13"/>
  <c r="AB11" i="13"/>
  <c r="AA10" i="13"/>
  <c r="AB10" i="13" s="1"/>
  <c r="AA9" i="13"/>
  <c r="AB9" i="13" s="1"/>
  <c r="AB6" i="13"/>
  <c r="AA5" i="13"/>
  <c r="AB5" i="13" s="1"/>
  <c r="AA4" i="13"/>
  <c r="AB4" i="13" s="1"/>
  <c r="Z13" i="13"/>
  <c r="E17" i="1" s="1"/>
  <c r="AA3" i="13"/>
  <c r="AB3" i="13" s="1"/>
  <c r="Y13" i="13"/>
  <c r="D17" i="1" s="1"/>
  <c r="AK12" i="12"/>
  <c r="AL12" i="12" s="1"/>
  <c r="AK9" i="12"/>
  <c r="AL9" i="12" s="1"/>
  <c r="AK8" i="12"/>
  <c r="AL8" i="12" s="1"/>
  <c r="AK7" i="12"/>
  <c r="AL7" i="12" s="1"/>
  <c r="AK6" i="12"/>
  <c r="AL6" i="12" s="1"/>
  <c r="AK5" i="12"/>
  <c r="AL5" i="12" s="1"/>
  <c r="AL4" i="12"/>
  <c r="AJ13" i="12"/>
  <c r="E16" i="1" s="1"/>
  <c r="AK11" i="12"/>
  <c r="AL11" i="12" s="1"/>
  <c r="AK10" i="12"/>
  <c r="AL10" i="12"/>
  <c r="AL3" i="12"/>
  <c r="AB12" i="11"/>
  <c r="AA10" i="11"/>
  <c r="AB10" i="11" s="1"/>
  <c r="AA9" i="11"/>
  <c r="AB9" i="11" s="1"/>
  <c r="AA11" i="11"/>
  <c r="AB11" i="11" s="1"/>
  <c r="AA8" i="11"/>
  <c r="AB8" i="11" s="1"/>
  <c r="AA6" i="11"/>
  <c r="AB6" i="11" s="1"/>
  <c r="AA5" i="11"/>
  <c r="AB5" i="11" s="1"/>
  <c r="AA4" i="11"/>
  <c r="AB4" i="11" s="1"/>
  <c r="AA3" i="11"/>
  <c r="AB3" i="11" s="1"/>
  <c r="Z13" i="11"/>
  <c r="E15" i="1" s="1"/>
  <c r="Y13" i="11"/>
  <c r="D15" i="1" s="1"/>
  <c r="V12" i="10"/>
  <c r="W12" i="10" s="1"/>
  <c r="V11" i="10"/>
  <c r="W11" i="10" s="1"/>
  <c r="V10" i="10"/>
  <c r="W10" i="10" s="1"/>
  <c r="V9" i="10"/>
  <c r="W9" i="10" s="1"/>
  <c r="V8" i="10"/>
  <c r="W8" i="10" s="1"/>
  <c r="V6" i="10"/>
  <c r="W6" i="10" s="1"/>
  <c r="V4" i="10"/>
  <c r="W4" i="10"/>
  <c r="T13" i="10"/>
  <c r="U13" i="10"/>
  <c r="E14" i="1" s="1"/>
  <c r="V12" i="9"/>
  <c r="W12" i="9" s="1"/>
  <c r="V10" i="9"/>
  <c r="W10" i="9" s="1"/>
  <c r="V9" i="9"/>
  <c r="W9" i="9" s="1"/>
  <c r="V8" i="9"/>
  <c r="W8" i="9" s="1"/>
  <c r="W7" i="9"/>
  <c r="V6" i="9"/>
  <c r="W6" i="9" s="1"/>
  <c r="U13" i="9"/>
  <c r="E13" i="1" s="1"/>
  <c r="V4" i="9"/>
  <c r="W4" i="9" s="1"/>
  <c r="V3" i="9"/>
  <c r="W3" i="9" s="1"/>
  <c r="T13" i="9"/>
  <c r="D13" i="1" s="1"/>
  <c r="V12" i="8"/>
  <c r="W12" i="8" s="1"/>
  <c r="V11" i="8"/>
  <c r="W11" i="8" s="1"/>
  <c r="V10" i="8"/>
  <c r="W10" i="8" s="1"/>
  <c r="V9" i="8"/>
  <c r="W9" i="8" s="1"/>
  <c r="V8" i="8"/>
  <c r="W8" i="8" s="1"/>
  <c r="V7" i="8"/>
  <c r="W7" i="8" s="1"/>
  <c r="V6" i="8"/>
  <c r="W6" i="8" s="1"/>
  <c r="V5" i="8"/>
  <c r="W5" i="8" s="1"/>
  <c r="V3" i="8"/>
  <c r="W3" i="8" s="1"/>
  <c r="U13" i="8"/>
  <c r="E12" i="1" s="1"/>
  <c r="AA8" i="6"/>
  <c r="AB8" i="6" s="1"/>
  <c r="AA12" i="6"/>
  <c r="AB12" i="6" s="1"/>
  <c r="AA7" i="6"/>
  <c r="AB7" i="6" s="1"/>
  <c r="AA5" i="6"/>
  <c r="AB5" i="6" s="1"/>
  <c r="AA11" i="6"/>
  <c r="AB11" i="6" s="1"/>
  <c r="AA10" i="6"/>
  <c r="AB10" i="6" s="1"/>
  <c r="AA9" i="6"/>
  <c r="AB9" i="6" s="1"/>
  <c r="AA6" i="6"/>
  <c r="AB6" i="6" s="1"/>
  <c r="AA4" i="6"/>
  <c r="AB4" i="6" s="1"/>
  <c r="AA3" i="6"/>
  <c r="Y13" i="6"/>
  <c r="D10" i="1" s="1"/>
  <c r="V11" i="4"/>
  <c r="W11" i="4" s="1"/>
  <c r="V10" i="4"/>
  <c r="W10" i="4" s="1"/>
  <c r="V9" i="4"/>
  <c r="W9" i="4" s="1"/>
  <c r="V12" i="4"/>
  <c r="W12" i="4" s="1"/>
  <c r="V8" i="4"/>
  <c r="W8" i="4" s="1"/>
  <c r="V7" i="4"/>
  <c r="W7" i="4" s="1"/>
  <c r="V5" i="4"/>
  <c r="W5" i="4" s="1"/>
  <c r="V4" i="4"/>
  <c r="W4" i="4" s="1"/>
  <c r="V6" i="4"/>
  <c r="W6" i="4" s="1"/>
  <c r="U13" i="4"/>
  <c r="E9" i="1" s="1"/>
  <c r="V3" i="4"/>
  <c r="W3" i="4" s="1"/>
  <c r="AA12" i="5"/>
  <c r="AB12" i="5" s="1"/>
  <c r="AA11" i="5"/>
  <c r="AB11" i="5" s="1"/>
  <c r="AA10" i="5"/>
  <c r="AB10" i="5" s="1"/>
  <c r="AA9" i="5"/>
  <c r="AB9" i="5" s="1"/>
  <c r="AA7" i="5"/>
  <c r="AA5" i="5"/>
  <c r="AA3" i="5"/>
  <c r="AA8" i="5"/>
  <c r="AB8" i="5" s="1"/>
  <c r="Z13" i="5"/>
  <c r="AA6" i="5"/>
  <c r="Y13" i="5"/>
  <c r="D8" i="1" s="1"/>
  <c r="AA13" i="21"/>
  <c r="F25" i="1" s="1"/>
  <c r="AA4" i="5"/>
  <c r="T13" i="4"/>
  <c r="Z13" i="6"/>
  <c r="E10" i="1" s="1"/>
  <c r="V5" i="7"/>
  <c r="V13" i="7" s="1"/>
  <c r="F11" i="1" s="1"/>
  <c r="T13" i="8"/>
  <c r="D12" i="1" s="1"/>
  <c r="V4" i="8"/>
  <c r="W4" i="8" s="1"/>
  <c r="V5" i="9"/>
  <c r="W5" i="9" s="1"/>
  <c r="V3" i="10"/>
  <c r="AA7" i="11"/>
  <c r="AB7" i="11" s="1"/>
  <c r="AI13" i="12"/>
  <c r="D16" i="1" s="1"/>
  <c r="AA7" i="13"/>
  <c r="AB7" i="13" s="1"/>
  <c r="T13" i="14"/>
  <c r="D18" i="1" s="1"/>
  <c r="AA4" i="15"/>
  <c r="AB4" i="15" s="1"/>
  <c r="Y13" i="15"/>
  <c r="D19" i="1" s="1"/>
  <c r="Y13" i="17"/>
  <c r="D21" i="1" s="1"/>
  <c r="Y13" i="18"/>
  <c r="D22" i="1" s="1"/>
  <c r="Z13" i="18"/>
  <c r="E22" i="1" s="1"/>
  <c r="V7" i="19"/>
  <c r="W7" i="19" s="1"/>
  <c r="T13" i="20"/>
  <c r="D24" i="1" s="1"/>
  <c r="Z13" i="21"/>
  <c r="E25" i="1" s="1"/>
  <c r="Y13" i="21"/>
  <c r="D25" i="1" s="1"/>
  <c r="V13" i="3"/>
  <c r="F7" i="1" s="1"/>
  <c r="U13" i="3"/>
  <c r="E7" i="1" s="1"/>
  <c r="T13" i="3"/>
  <c r="D7" i="1" s="1"/>
  <c r="S12" i="3"/>
  <c r="S11" i="3"/>
  <c r="S10" i="3"/>
  <c r="S9" i="3"/>
  <c r="S8" i="3"/>
  <c r="S7" i="3"/>
  <c r="S6" i="3"/>
  <c r="S5" i="3"/>
  <c r="S4" i="3"/>
  <c r="S3" i="3"/>
  <c r="U13" i="2"/>
  <c r="E6" i="1" s="1"/>
  <c r="V13" i="2"/>
  <c r="F6" i="1" s="1"/>
  <c r="T13" i="2"/>
  <c r="D6" i="1" s="1"/>
  <c r="S4" i="2"/>
  <c r="S5" i="2"/>
  <c r="S6" i="2"/>
  <c r="S7" i="2"/>
  <c r="S8" i="2"/>
  <c r="S9" i="2"/>
  <c r="S10" i="2"/>
  <c r="S11" i="2"/>
  <c r="S12" i="2"/>
  <c r="S3" i="2"/>
  <c r="AB13" i="17" l="1"/>
  <c r="G21" i="1" s="1"/>
  <c r="AA13" i="17"/>
  <c r="F21" i="1" s="1"/>
  <c r="AB13" i="16"/>
  <c r="G20" i="1" s="1"/>
  <c r="AA13" i="16"/>
  <c r="F20" i="1" s="1"/>
  <c r="AB13" i="15"/>
  <c r="G19" i="1" s="1"/>
  <c r="AA13" i="15"/>
  <c r="F19" i="1" s="1"/>
  <c r="W13" i="20"/>
  <c r="G24" i="1" s="1"/>
  <c r="V13" i="20"/>
  <c r="F24" i="1" s="1"/>
  <c r="W13" i="19"/>
  <c r="G23" i="1" s="1"/>
  <c r="V13" i="19"/>
  <c r="F23" i="1" s="1"/>
  <c r="AB13" i="18"/>
  <c r="G22" i="1" s="1"/>
  <c r="AA13" i="18"/>
  <c r="F22" i="1" s="1"/>
  <c r="W13" i="14"/>
  <c r="G18" i="1" s="1"/>
  <c r="V13" i="14"/>
  <c r="F18" i="1" s="1"/>
  <c r="AB13" i="13"/>
  <c r="G17" i="1" s="1"/>
  <c r="AA13" i="13"/>
  <c r="F17" i="1" s="1"/>
  <c r="AK13" i="12"/>
  <c r="F16" i="1" s="1"/>
  <c r="AL13" i="12"/>
  <c r="G16" i="1" s="1"/>
  <c r="AB13" i="11"/>
  <c r="G15" i="1" s="1"/>
  <c r="AA13" i="11"/>
  <c r="F15" i="1" s="1"/>
  <c r="V13" i="10"/>
  <c r="F14" i="1" s="1"/>
  <c r="W3" i="10"/>
  <c r="W13" i="10" s="1"/>
  <c r="G14" i="1" s="1"/>
  <c r="W13" i="9"/>
  <c r="G13" i="1" s="1"/>
  <c r="V13" i="9"/>
  <c r="F13" i="1" s="1"/>
  <c r="W13" i="8"/>
  <c r="G12" i="1" s="1"/>
  <c r="V13" i="8"/>
  <c r="F12" i="1" s="1"/>
  <c r="AA13" i="6"/>
  <c r="F10" i="1" s="1"/>
  <c r="AB3" i="6"/>
  <c r="AB13" i="6" s="1"/>
  <c r="G10" i="1" s="1"/>
  <c r="V13" i="4"/>
  <c r="W13" i="4"/>
  <c r="G9" i="1" s="1"/>
  <c r="AB13" i="5"/>
  <c r="AA13" i="5"/>
  <c r="F8" i="1" s="1"/>
  <c r="E8" i="1"/>
  <c r="D9" i="1"/>
  <c r="F9" i="1" l="1"/>
  <c r="D73" i="1" l="1"/>
  <c r="E73" i="1"/>
  <c r="D70" i="1"/>
  <c r="E70" i="1"/>
  <c r="D68" i="1"/>
  <c r="E68" i="1"/>
  <c r="F73" i="1" l="1"/>
  <c r="G73" i="1"/>
  <c r="F70" i="1"/>
  <c r="G70" i="1"/>
  <c r="G68" i="1"/>
  <c r="F68" i="1"/>
</calcChain>
</file>

<file path=xl/sharedStrings.xml><?xml version="1.0" encoding="utf-8"?>
<sst xmlns="http://schemas.openxmlformats.org/spreadsheetml/2006/main" count="1481" uniqueCount="259">
  <si>
    <t>Flip 7 Best Strat Test Data</t>
  </si>
  <si>
    <t>Human (Without Probability)</t>
  </si>
  <si>
    <t>Human (With Probability)</t>
  </si>
  <si>
    <t>Always Bank (3 Cards)</t>
  </si>
  <si>
    <t>Always Bank (4 Cards)</t>
  </si>
  <si>
    <t>Always Bank (2 Cards)</t>
  </si>
  <si>
    <t>Always Bank (Cumulative 60%)</t>
  </si>
  <si>
    <t>Always Bank (Cumulative 70%)</t>
  </si>
  <si>
    <t>Always Bank (Cumulative 50%)</t>
  </si>
  <si>
    <t>Always Bank (Cumulative 40%)</t>
  </si>
  <si>
    <t>Average Rounds to 200</t>
  </si>
  <si>
    <t>Always Bank (Cumulative 30%)</t>
  </si>
  <si>
    <t>Always Bank (Individual 10%)</t>
  </si>
  <si>
    <t>Always Bank (Individual 20%)</t>
  </si>
  <si>
    <t>Always Bank (Individual 30%)</t>
  </si>
  <si>
    <t>Always Bank (Individual 40%)</t>
  </si>
  <si>
    <t>Always Flip 7</t>
  </si>
  <si>
    <t>Human No Probability</t>
  </si>
  <si>
    <t>Game 1</t>
  </si>
  <si>
    <t>Round 1</t>
  </si>
  <si>
    <t>Round 2</t>
  </si>
  <si>
    <t>Round 3</t>
  </si>
  <si>
    <t>Round 4</t>
  </si>
  <si>
    <t>Round 5</t>
  </si>
  <si>
    <t>Round 6</t>
  </si>
  <si>
    <t>Round 7</t>
  </si>
  <si>
    <t>Round 8</t>
  </si>
  <si>
    <t>Round 9</t>
  </si>
  <si>
    <t>Round 10</t>
  </si>
  <si>
    <t>Round 11</t>
  </si>
  <si>
    <t>Round 12</t>
  </si>
  <si>
    <t>Game 2</t>
  </si>
  <si>
    <t>Game 3</t>
  </si>
  <si>
    <t>Game 4</t>
  </si>
  <si>
    <t>Game 5</t>
  </si>
  <si>
    <t>Game 6</t>
  </si>
  <si>
    <t>Game 7</t>
  </si>
  <si>
    <t>Game 8</t>
  </si>
  <si>
    <t>Game 9</t>
  </si>
  <si>
    <t>Game 10</t>
  </si>
  <si>
    <t>Round 13</t>
  </si>
  <si>
    <t>Round 14</t>
  </si>
  <si>
    <t>Round 15</t>
  </si>
  <si>
    <t>Always Bank (Score of 20+)</t>
  </si>
  <si>
    <t>Always Bank (Score of 25+)</t>
  </si>
  <si>
    <t>Always Bank (Score of 30+)</t>
  </si>
  <si>
    <t>Always Bank (Score of 35+)</t>
  </si>
  <si>
    <t>Always Bank (Score of 40+)</t>
  </si>
  <si>
    <t>Total Busts</t>
  </si>
  <si>
    <t>Total Rounds</t>
  </si>
  <si>
    <t>Total</t>
  </si>
  <si>
    <t>Successes</t>
  </si>
  <si>
    <t>Averages:</t>
  </si>
  <si>
    <t>Is done?</t>
  </si>
  <si>
    <t>Human With Probability</t>
  </si>
  <si>
    <t>Always Bank 2 Cards</t>
  </si>
  <si>
    <t>Always Bank 3 Cards</t>
  </si>
  <si>
    <t>Always Bank 4 Cards</t>
  </si>
  <si>
    <t>Always Bank 20+ Points</t>
  </si>
  <si>
    <t>Always Bank 25+ Points</t>
  </si>
  <si>
    <t>Always Bank 30+ Points</t>
  </si>
  <si>
    <t>Always Bank 35+ Points</t>
  </si>
  <si>
    <t>Always Bank 40+ Points</t>
  </si>
  <si>
    <t>Flip until Cumu Odds &lt; 70%</t>
  </si>
  <si>
    <t>Flip until Cumu Odds &lt; 60%</t>
  </si>
  <si>
    <t>Flip until Cumu Odds &lt; 50%</t>
  </si>
  <si>
    <t>Flip until Cumu Odds &lt; 40%</t>
  </si>
  <si>
    <t>Flip until Cumu Odds &lt; 30%</t>
  </si>
  <si>
    <t>Flip until Individual Odds &gt; 10%</t>
  </si>
  <si>
    <t>Flip until Individual Odds &gt; 20%</t>
  </si>
  <si>
    <t>Flip until Individual Odds &gt; 30%</t>
  </si>
  <si>
    <t>Flip until Individual Odds &gt; 40%</t>
  </si>
  <si>
    <t>Round 16</t>
  </si>
  <si>
    <t>Round 17</t>
  </si>
  <si>
    <t>Round 18</t>
  </si>
  <si>
    <t>Round 19</t>
  </si>
  <si>
    <t>Round 20</t>
  </si>
  <si>
    <t>Average Score</t>
  </si>
  <si>
    <t>Average Successful Rounds</t>
  </si>
  <si>
    <t>Average Bust Rounds</t>
  </si>
  <si>
    <t>Round 21</t>
  </si>
  <si>
    <t>Round 22</t>
  </si>
  <si>
    <t>Round 23</t>
  </si>
  <si>
    <t>Round 24</t>
  </si>
  <si>
    <t>Round 25</t>
  </si>
  <si>
    <t>Round 26</t>
  </si>
  <si>
    <t>Round 27</t>
  </si>
  <si>
    <t>Round 28</t>
  </si>
  <si>
    <t>Round 29</t>
  </si>
  <si>
    <t>Round 30</t>
  </si>
  <si>
    <t>Also wont bank 0</t>
  </si>
  <si>
    <t>First set of strategies Tested:</t>
  </si>
  <si>
    <t>Conclusions:</t>
  </si>
  <si>
    <t>0.6451612903225801,</t>
  </si>
  <si>
    <t>Differential as a percent</t>
  </si>
  <si>
    <t>Cards flipped</t>
  </si>
  <si>
    <t>Cards Flipped</t>
  </si>
  <si>
    <t>Testing Heuristics</t>
  </si>
  <si>
    <t>Test 1</t>
  </si>
  <si>
    <t>Test 2</t>
  </si>
  <si>
    <t>()</t>
  </si>
  <si>
    <t>The Score 30+ and Probability 30 both yielded promising results. My personal strategy is a close combination of the 2 and leads me to believe there is likely a score around 27-32 that’s optimal and that there's a probability that’s best too. The probability is held back by the fact that the human players of the game have no idea of the active probability as it changes as more cards are dealt. I did notice through my testing however that scores closely resembled the probability that was held +/- about 3. So for my second round of testing I want to test the new more specific score values, probability values, a combined strategy that only banks once either condition is met and a heuristical approach to the probabily that uses a simple calculation that a regular person could do to understand their bust chances. This therefore is what I will strive to achieve in my second set of strategy testing.</t>
  </si>
  <si>
    <t>Second set of strategies tested:</t>
  </si>
  <si>
    <t>Always Bank (Score of 27+)</t>
  </si>
  <si>
    <t>Always Bank (Score of 28+)</t>
  </si>
  <si>
    <t>Always Bank (Score of 29+)</t>
  </si>
  <si>
    <t>Always Bank (Individual 18%)</t>
  </si>
  <si>
    <t>Always Bank (Individual 22%)</t>
  </si>
  <si>
    <t>Always Bank (Individual 24%)</t>
  </si>
  <si>
    <t>Always Bank (Individual 26%)</t>
  </si>
  <si>
    <t>Always Bank (Individual 28%)</t>
  </si>
  <si>
    <t>Always Bank (Individual 32%)</t>
  </si>
  <si>
    <t>Always Bank (Score of 24+)</t>
  </si>
  <si>
    <t>Always Bank (Score of 26+)</t>
  </si>
  <si>
    <t>Always Bank (Score of 23+)</t>
  </si>
  <si>
    <t>Game 11</t>
  </si>
  <si>
    <t>Game 12</t>
  </si>
  <si>
    <t>Game 13</t>
  </si>
  <si>
    <t>Game 14</t>
  </si>
  <si>
    <t>Game 15</t>
  </si>
  <si>
    <t>Game 16</t>
  </si>
  <si>
    <t>Game 17</t>
  </si>
  <si>
    <t>Game 18</t>
  </si>
  <si>
    <t>Game 19</t>
  </si>
  <si>
    <t>Game 20</t>
  </si>
  <si>
    <t>Game 21</t>
  </si>
  <si>
    <t>Game 22</t>
  </si>
  <si>
    <t>Game 23</t>
  </si>
  <si>
    <t>Game 24</t>
  </si>
  <si>
    <t>Game 25</t>
  </si>
  <si>
    <t>Game 26</t>
  </si>
  <si>
    <t>Game 27</t>
  </si>
  <si>
    <t>Game 28</t>
  </si>
  <si>
    <t>Game 29</t>
  </si>
  <si>
    <t>Game 30</t>
  </si>
  <si>
    <t>Game 31</t>
  </si>
  <si>
    <t>Game 32</t>
  </si>
  <si>
    <t>Game 33</t>
  </si>
  <si>
    <t>Game 34</t>
  </si>
  <si>
    <t>Game 35</t>
  </si>
  <si>
    <t>Game 36</t>
  </si>
  <si>
    <t>Game 37</t>
  </si>
  <si>
    <t>Game 38</t>
  </si>
  <si>
    <t>Game 39</t>
  </si>
  <si>
    <t>Game 40</t>
  </si>
  <si>
    <t>Game 41</t>
  </si>
  <si>
    <t>Game 42</t>
  </si>
  <si>
    <t>Game 43</t>
  </si>
  <si>
    <t>Game 44</t>
  </si>
  <si>
    <t>Game 45</t>
  </si>
  <si>
    <t>Game 46</t>
  </si>
  <si>
    <t>Game 47</t>
  </si>
  <si>
    <t>Game 48</t>
  </si>
  <si>
    <t>Game 49</t>
  </si>
  <si>
    <t>Game 50</t>
  </si>
  <si>
    <t>Game 51</t>
  </si>
  <si>
    <t>Game 52</t>
  </si>
  <si>
    <t>Game 53</t>
  </si>
  <si>
    <t>Game 54</t>
  </si>
  <si>
    <t>Game 55</t>
  </si>
  <si>
    <t>Game 56</t>
  </si>
  <si>
    <t>Game 57</t>
  </si>
  <si>
    <t>Game 58</t>
  </si>
  <si>
    <t>Game 59</t>
  </si>
  <si>
    <t>Game 60</t>
  </si>
  <si>
    <t>Game 61</t>
  </si>
  <si>
    <t>Game 62</t>
  </si>
  <si>
    <t>Game 63</t>
  </si>
  <si>
    <t>Game 64</t>
  </si>
  <si>
    <t>Game 65</t>
  </si>
  <si>
    <t>Game 66</t>
  </si>
  <si>
    <t>Game 67</t>
  </si>
  <si>
    <t>Game 68</t>
  </si>
  <si>
    <t>Game 69</t>
  </si>
  <si>
    <t>Game 70</t>
  </si>
  <si>
    <t>Game 71</t>
  </si>
  <si>
    <t>Game 72</t>
  </si>
  <si>
    <t>Game 73</t>
  </si>
  <si>
    <t>Game 74</t>
  </si>
  <si>
    <t>Game 75</t>
  </si>
  <si>
    <t>Game 76</t>
  </si>
  <si>
    <t>Game 77</t>
  </si>
  <si>
    <t>Game 78</t>
  </si>
  <si>
    <t>Game 79</t>
  </si>
  <si>
    <t>Game 80</t>
  </si>
  <si>
    <t>Game 81</t>
  </si>
  <si>
    <t>Game 82</t>
  </si>
  <si>
    <t>Game 83</t>
  </si>
  <si>
    <t>Game 84</t>
  </si>
  <si>
    <t>Game 85</t>
  </si>
  <si>
    <t>Game 86</t>
  </si>
  <si>
    <t>Game 87</t>
  </si>
  <si>
    <t>Game 88</t>
  </si>
  <si>
    <t>Game 89</t>
  </si>
  <si>
    <t>Game 90</t>
  </si>
  <si>
    <t>Game 91</t>
  </si>
  <si>
    <t>Game 92</t>
  </si>
  <si>
    <t>Game 93</t>
  </si>
  <si>
    <t>Game 94</t>
  </si>
  <si>
    <t>Game 95</t>
  </si>
  <si>
    <t>Game 96</t>
  </si>
  <si>
    <t>Game 97</t>
  </si>
  <si>
    <t>Game 98</t>
  </si>
  <si>
    <t>Game 99</t>
  </si>
  <si>
    <t>Game 100</t>
  </si>
  <si>
    <t>Midway Analysis:</t>
  </si>
  <si>
    <t>I've found a way to increase my efficiency and can now do many more tests per data type. In doing so I noticed that the data was pointing towards an answer closer to the 20s range than the 30s despite my current best method being the Bank Score 30+ strategy. So I have decided to change my plan and now have done the lower end of values instead of the higher ones and I am also going to redo my data for 20, 25 and 30 from my original set to help me further. Once this is done I'll likely change my values for probabilistic testing to reflect my results.</t>
  </si>
  <si>
    <t>originally was 30+ but was changed mid test to be 20+ due me pursuing the wrong conclusion due to incomplete data</t>
  </si>
  <si>
    <t>Always Bank (Score of 22+)</t>
  </si>
  <si>
    <t>Always Bank (Score of 21+)</t>
  </si>
  <si>
    <t>2nd Test's Conclusions:</t>
  </si>
  <si>
    <t>Always Bank (Heuristic 18%)</t>
  </si>
  <si>
    <t>Always Bank (Heuristic 20%)</t>
  </si>
  <si>
    <t>Always Bank (Heuristic 22%)</t>
  </si>
  <si>
    <t>Always Bank (Heuristic 24%)</t>
  </si>
  <si>
    <t>Always Bank (Heuristic 26%)</t>
  </si>
  <si>
    <t>Always Bank (Heuristic 28%)</t>
  </si>
  <si>
    <t>Always Bank (Heuristic 30%)</t>
  </si>
  <si>
    <t>Always Bank (Heuristic 32%)</t>
  </si>
  <si>
    <t>These strategies are all similar efficiency but to take this testing further, I am going to need higher accuracy on the data to ensure that the correct conclusions are followed (prime example of this would be the misnomer that the score 30+ presented earlier in my testing). Therefore the number of trials I am doing for my chosen strategies is going to need to increase drastically and I think I've found a way to do that. For this set of tests I improved my effiency by making my code output the exact text I needed for the spreadsheet so that all I would need to do is copy the data in and excel would calculate it. If i want to scale my data up, I am not going to be able to record each score that is banked. So all data is going to have to remain in the python file. As a result of this I've decided that moving forward I will only need to post the results of my tests to the spreadsheet since I can run my game simulations in python and calculate the data values I'm using in the same file. So my next steps will be doing ~1 million simulations per strategy to try and get a good idea of the range of values that are best. In addition to this, I've also decided not to continue with the heuristics system for strategy testing as it is seeming to me that the score and probability methods are performing at a similar level and a human player can easily follow the score system without needing to complex calculations. So for my next (and likely final) set of tests I will test the values for score and probability around the 23 mark as that is what is seeming most optimal so far. Additionally I will be making some optimisations to the code to reduce some of the busts that the code is falling victim to that a human would avoid (namely banking as soon as 200 is reached and having this override the usual score or probabilty banking condition). So going forward, these are my newest goals to achieve.</t>
  </si>
  <si>
    <t>Third set of strategies tested:</t>
  </si>
  <si>
    <t>Always Bank (Score 20 +)</t>
  </si>
  <si>
    <t>Always Bank (Score 21 +)</t>
  </si>
  <si>
    <t>Always Bank (Score 22 +)</t>
  </si>
  <si>
    <t>Always Bank (Score 23 +)</t>
  </si>
  <si>
    <t>Always Bank (Score 24 +)</t>
  </si>
  <si>
    <t>Always Bank (Score 25 +)</t>
  </si>
  <si>
    <t>Always Bank (Score 26 +)</t>
  </si>
  <si>
    <t>Average Total Score</t>
  </si>
  <si>
    <t>Average Success Score</t>
  </si>
  <si>
    <t>Unfortunately theres no data to link to here since there is just too much of it for me to be able to reasonably represent it on the spreadsheet (hence why only the results are shown here)</t>
  </si>
  <si>
    <t>Always Bank (Score 27 +)</t>
  </si>
  <si>
    <t>Always Bank (Score 28 +)</t>
  </si>
  <si>
    <t>Always Bank (Score 29 +)</t>
  </si>
  <si>
    <t>Always Bank (Score 30 +)</t>
  </si>
  <si>
    <t>Always Bank (Score 31 +)</t>
  </si>
  <si>
    <t>Always Bank (Score 32+)</t>
  </si>
  <si>
    <t>Always Bank (Score 33+)</t>
  </si>
  <si>
    <t>Always Bank (Score 34+)</t>
  </si>
  <si>
    <t>Variability of Strategies:</t>
  </si>
  <si>
    <t>Tested with Score 23+</t>
  </si>
  <si>
    <t>Test 3</t>
  </si>
  <si>
    <t>Test 4</t>
  </si>
  <si>
    <t>Test 5</t>
  </si>
  <si>
    <t>Test 6</t>
  </si>
  <si>
    <t>Test 7</t>
  </si>
  <si>
    <t>Test 8</t>
  </si>
  <si>
    <t>Test 9</t>
  </si>
  <si>
    <t>Test 10</t>
  </si>
  <si>
    <t>Success vs Bust:</t>
  </si>
  <si>
    <t>Mean:</t>
  </si>
  <si>
    <t>Standard Deviation:</t>
  </si>
  <si>
    <t>Uncertainty:</t>
  </si>
  <si>
    <t>Results: (6 s.f)</t>
  </si>
  <si>
    <t>204.913 ± 0.00481074</t>
  </si>
  <si>
    <t>10.3033 ± 0.00124714</t>
  </si>
  <si>
    <t>2.53611 ± 0.00115371</t>
  </si>
  <si>
    <t>7.76830 ± 0.000382788</t>
  </si>
  <si>
    <t>26.5153 ± 0.00127826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</si>
</sst>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Aptos Narrow"/>
      <family val="2"/>
      <scheme val="minor"/>
    </font>
    <font>
      <sz val="11"/>
      <color rgb="FF006100"/>
      <name val="Aptos Narrow"/>
      <family val="2"/>
      <scheme val="minor"/>
    </font>
    <font>
      <sz val="11"/>
      <color rgb="FF9C0006"/>
      <name val="Aptos Narrow"/>
      <family val="2"/>
      <scheme val="minor"/>
    </font>
    <font>
      <sz val="8"/>
      <name val="Aptos Narrow"/>
      <family val="2"/>
      <scheme val="minor"/>
    </font>
    <font>
      <sz val="10"/>
      <color theme="1"/>
      <name val="Arial Unicode MS"/>
    </font>
  </fonts>
  <fills count="4">
    <fill>
      <patternFill patternType="none"/>
    </fill>
    <fill>
      <patternFill patternType="gray125"/>
    </fill>
    <fill>
      <patternFill patternType="solid">
        <fgColor rgb="FFC6EFCE"/>
      </patternFill>
    </fill>
    <fill>
      <patternFill patternType="solid">
        <fgColor rgb="FFFFC7CE"/>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 fillId="2" borderId="0" applyNumberFormat="0" applyBorder="0" applyAlignment="0" applyProtection="0"/>
    <xf numFmtId="0" fontId="2" fillId="3" borderId="0" applyNumberFormat="0" applyBorder="0" applyAlignment="0" applyProtection="0"/>
  </cellStyleXfs>
  <cellXfs count="11">
    <xf numFmtId="0" fontId="0" fillId="0" borderId="0" xfId="0"/>
    <xf numFmtId="0" fontId="0" fillId="0" borderId="1" xfId="0" applyBorder="1"/>
    <xf numFmtId="0" fontId="4" fillId="0" borderId="0" xfId="0" applyFont="1" applyAlignment="1">
      <alignment vertical="center"/>
    </xf>
    <xf numFmtId="0" fontId="2" fillId="3" borderId="0" xfId="2"/>
    <xf numFmtId="0" fontId="1" fillId="2" borderId="0" xfId="1"/>
    <xf numFmtId="11" fontId="0" fillId="0" borderId="0" xfId="0" applyNumberFormat="1"/>
    <xf numFmtId="0" fontId="0" fillId="0" borderId="0" xfId="0" applyAlignment="1">
      <alignment wrapText="1"/>
    </xf>
    <xf numFmtId="0" fontId="0" fillId="0" borderId="0" xfId="0" applyAlignment="1">
      <alignment vertical="top" wrapText="1"/>
    </xf>
    <xf numFmtId="0" fontId="0" fillId="0" borderId="0" xfId="0" applyAlignment="1">
      <alignment horizontal="center" vertical="top" wrapText="1"/>
    </xf>
    <xf numFmtId="0" fontId="0" fillId="0" borderId="0" xfId="0" applyAlignment="1">
      <alignment horizontal="center" vertical="center" wrapText="1"/>
    </xf>
    <xf numFmtId="0" fontId="0" fillId="0" borderId="0" xfId="0" applyAlignment="1">
      <alignment horizontal="center" wrapText="1"/>
    </xf>
  </cellXfs>
  <cellStyles count="3">
    <cellStyle name="Bad" xfId="2" builtinId="27"/>
    <cellStyle name="Good" xfId="1" builtinId="26"/>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'Master Data'!$N$19</c:f>
              <c:strCache>
                <c:ptCount val="1"/>
                <c:pt idx="0">
                  <c:v>Differential as a percent</c:v>
                </c:pt>
              </c:strCache>
            </c:strRef>
          </c:tx>
          <c:spPr>
            <a:ln w="28575" cap="rnd">
              <a:solidFill>
                <a:schemeClr val="accent1"/>
              </a:solidFill>
              <a:round/>
            </a:ln>
            <a:effectLst/>
          </c:spPr>
          <c:marker>
            <c:symbol val="none"/>
          </c:marker>
          <c:cat>
            <c:numRef>
              <c:f>'Master Data'!$O$18:$CF$18</c:f>
              <c:numCache>
                <c:formatCode>General</c:formatCode>
                <c:ptCount val="7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numCache>
            </c:numRef>
          </c:cat>
          <c:val>
            <c:numRef>
              <c:f>'Master Data'!$O$19:$CF$19</c:f>
              <c:numCache>
                <c:formatCode>General</c:formatCode>
                <c:ptCount val="70"/>
                <c:pt idx="0">
                  <c:v>-8.79120879120876E-2</c:v>
                </c:pt>
                <c:pt idx="1">
                  <c:v>-0.22222222222222099</c:v>
                </c:pt>
                <c:pt idx="2">
                  <c:v>-0.46067415730336903</c:v>
                </c:pt>
                <c:pt idx="3">
                  <c:v>0.5</c:v>
                </c:pt>
                <c:pt idx="4">
                  <c:v>-0.42528735632183801</c:v>
                </c:pt>
                <c:pt idx="5">
                  <c:v>-0.32558139534884101</c:v>
                </c:pt>
                <c:pt idx="6">
                  <c:v>0.66666666666666696</c:v>
                </c:pt>
                <c:pt idx="7">
                  <c:v>1.5180722891566201</c:v>
                </c:pt>
                <c:pt idx="8">
                  <c:v>1.17073170731707</c:v>
                </c:pt>
                <c:pt idx="9">
                  <c:v>2.9012345679012301</c:v>
                </c:pt>
                <c:pt idx="10">
                  <c:v>1.75</c:v>
                </c:pt>
                <c:pt idx="11">
                  <c:v>-0.82051282051281904</c:v>
                </c:pt>
                <c:pt idx="12">
                  <c:v>12.012987012987001</c:v>
                </c:pt>
                <c:pt idx="13">
                  <c:v>11.3157894736842</c:v>
                </c:pt>
                <c:pt idx="14">
                  <c:v>12.6666666666666</c:v>
                </c:pt>
                <c:pt idx="15">
                  <c:v>12.270270270270199</c:v>
                </c:pt>
                <c:pt idx="16">
                  <c:v>12.8630136986301</c:v>
                </c:pt>
                <c:pt idx="17">
                  <c:v>2.77464788732394</c:v>
                </c:pt>
                <c:pt idx="18">
                  <c:v>3.5714285714285698</c:v>
                </c:pt>
                <c:pt idx="19">
                  <c:v>3.3623188405797002</c:v>
                </c:pt>
                <c:pt idx="20">
                  <c:v>2.70588235294117</c:v>
                </c:pt>
                <c:pt idx="21">
                  <c:v>2.2089552238805998</c:v>
                </c:pt>
                <c:pt idx="22">
                  <c:v>0.51515151515151503</c:v>
                </c:pt>
                <c:pt idx="23">
                  <c:v>5.48484848484848</c:v>
                </c:pt>
                <c:pt idx="24">
                  <c:v>6.2307692307692299</c:v>
                </c:pt>
                <c:pt idx="25">
                  <c:v>5.5625</c:v>
                </c:pt>
                <c:pt idx="26">
                  <c:v>5.4920634920634903</c:v>
                </c:pt>
                <c:pt idx="27">
                  <c:v>1.38709677419355</c:v>
                </c:pt>
                <c:pt idx="28">
                  <c:v>-0.66666666666666596</c:v>
                </c:pt>
                <c:pt idx="29">
                  <c:v>2.7457627118643999</c:v>
                </c:pt>
                <c:pt idx="30">
                  <c:v>2.41379310344827</c:v>
                </c:pt>
                <c:pt idx="31">
                  <c:v>0.42857142857142799</c:v>
                </c:pt>
                <c:pt idx="32">
                  <c:v>0.90909090909090795</c:v>
                </c:pt>
                <c:pt idx="33">
                  <c:v>1.4814814814814801</c:v>
                </c:pt>
                <c:pt idx="34">
                  <c:v>6.2452830188679203</c:v>
                </c:pt>
                <c:pt idx="35">
                  <c:v>6.1538461538461497</c:v>
                </c:pt>
                <c:pt idx="36">
                  <c:v>-1</c:v>
                </c:pt>
                <c:pt idx="37">
                  <c:v>0.63265306122448794</c:v>
                </c:pt>
                <c:pt idx="38">
                  <c:v>-18.75</c:v>
                </c:pt>
                <c:pt idx="39">
                  <c:v>-21.276595744680801</c:v>
                </c:pt>
                <c:pt idx="40">
                  <c:v>-30.434782608695599</c:v>
                </c:pt>
                <c:pt idx="41">
                  <c:v>-33.3333333333333</c:v>
                </c:pt>
                <c:pt idx="42">
                  <c:v>7</c:v>
                </c:pt>
                <c:pt idx="43">
                  <c:v>5.71428571428571</c:v>
                </c:pt>
                <c:pt idx="44">
                  <c:v>4.1707317073170698</c:v>
                </c:pt>
                <c:pt idx="45">
                  <c:v>2.7435897435897401</c:v>
                </c:pt>
                <c:pt idx="46">
                  <c:v>1.31578947368421</c:v>
                </c:pt>
                <c:pt idx="47">
                  <c:v>0.86486486486486303</c:v>
                </c:pt>
                <c:pt idx="48">
                  <c:v>2.3333333333333202</c:v>
                </c:pt>
                <c:pt idx="49">
                  <c:v>7.1428571428571397</c:v>
                </c:pt>
                <c:pt idx="50">
                  <c:v>3</c:v>
                </c:pt>
                <c:pt idx="51">
                  <c:v>-1.375</c:v>
                </c:pt>
                <c:pt idx="52">
                  <c:v>0</c:v>
                </c:pt>
                <c:pt idx="53">
                  <c:v>1</c:v>
                </c:pt>
                <c:pt idx="54">
                  <c:v>2.6206896551724101</c:v>
                </c:pt>
                <c:pt idx="55">
                  <c:v>-1.1111111111111101</c:v>
                </c:pt>
                <c:pt idx="56">
                  <c:v>-4.2307692307692299</c:v>
                </c:pt>
                <c:pt idx="57" formatCode="0.00E+00">
                  <c:v>-3.5527136788005001E-15</c:v>
                </c:pt>
                <c:pt idx="58">
                  <c:v>0.83333333333333204</c:v>
                </c:pt>
                <c:pt idx="59">
                  <c:v>-0.78260869565217195</c:v>
                </c:pt>
                <c:pt idx="60">
                  <c:v>0.238095238095238</c:v>
                </c:pt>
                <c:pt idx="61">
                  <c:v>3</c:v>
                </c:pt>
                <c:pt idx="62">
                  <c:v>-20.105263157894701</c:v>
                </c:pt>
                <c:pt idx="63">
                  <c:v>-14.529411764705801</c:v>
                </c:pt>
                <c:pt idx="64">
                  <c:v>-4.3333333333333304</c:v>
                </c:pt>
                <c:pt idx="65">
                  <c:v>0.57142857142857295</c:v>
                </c:pt>
                <c:pt idx="66">
                  <c:v>2.9230769230769198</c:v>
                </c:pt>
                <c:pt idx="67">
                  <c:v>-3.6666666666666701</c:v>
                </c:pt>
                <c:pt idx="68">
                  <c:v>0</c:v>
                </c:pt>
                <c:pt idx="69">
                  <c:v>-0.22222222222222099</c:v>
                </c:pt>
              </c:numCache>
            </c:numRef>
          </c:val>
          <c:smooth val="0"/>
          <c:extLst>
            <c:ext xmlns:c16="http://schemas.microsoft.com/office/drawing/2014/chart" uri="{C3380CC4-5D6E-409C-BE32-E72D297353CC}">
              <c16:uniqueId val="{00000000-0FE5-4524-B9C0-3E7B5CBFE61E}"/>
            </c:ext>
          </c:extLst>
        </c:ser>
        <c:dLbls>
          <c:showLegendKey val="0"/>
          <c:showVal val="0"/>
          <c:showCatName val="0"/>
          <c:showSerName val="0"/>
          <c:showPercent val="0"/>
          <c:showBubbleSize val="0"/>
        </c:dLbls>
        <c:smooth val="0"/>
        <c:axId val="106688991"/>
        <c:axId val="140167407"/>
      </c:lineChart>
      <c:catAx>
        <c:axId val="10668899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Card</a:t>
                </a:r>
                <a:r>
                  <a:rPr lang="en-GB" baseline="0"/>
                  <a:t> Flipped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167407"/>
        <c:crosses val="autoZero"/>
        <c:auto val="1"/>
        <c:lblAlgn val="ctr"/>
        <c:lblOffset val="100"/>
        <c:noMultiLvlLbl val="0"/>
      </c:catAx>
      <c:valAx>
        <c:axId val="1401674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Differenial as a percent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68899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'Master Data'!$L$31:$L$110</c:f>
              <c:numCache>
                <c:formatCode>General</c:formatCode>
                <c:ptCount val="80"/>
                <c:pt idx="0">
                  <c:v>1</c:v>
                </c:pt>
                <c:pt idx="1">
                  <c:v>1.88888888888888</c:v>
                </c:pt>
                <c:pt idx="2">
                  <c:v>1.7640449438202199</c:v>
                </c:pt>
                <c:pt idx="3">
                  <c:v>1.13636363636363</c:v>
                </c:pt>
                <c:pt idx="4">
                  <c:v>-1.02790697674418</c:v>
                </c:pt>
                <c:pt idx="5">
                  <c:v>-4.7058823529411598E-2</c:v>
                </c:pt>
                <c:pt idx="6">
                  <c:v>-0.78095238095238095</c:v>
                </c:pt>
                <c:pt idx="7">
                  <c:v>-1.36385542168674</c:v>
                </c:pt>
                <c:pt idx="8">
                  <c:v>-1.96097560975609</c:v>
                </c:pt>
                <c:pt idx="9">
                  <c:v>-1.05</c:v>
                </c:pt>
                <c:pt idx="10">
                  <c:v>-1.19240506329114</c:v>
                </c:pt>
                <c:pt idx="11">
                  <c:v>-0.31282051282051099</c:v>
                </c:pt>
                <c:pt idx="12">
                  <c:v>0.53684210526315801</c:v>
                </c:pt>
                <c:pt idx="13">
                  <c:v>0.8</c:v>
                </c:pt>
                <c:pt idx="14">
                  <c:v>-0.76756756756756706</c:v>
                </c:pt>
                <c:pt idx="15">
                  <c:v>-0.96712328767123101</c:v>
                </c:pt>
                <c:pt idx="16">
                  <c:v>0.63333333333333197</c:v>
                </c:pt>
                <c:pt idx="17">
                  <c:v>-2.8169014084511398E-3</c:v>
                </c:pt>
                <c:pt idx="18">
                  <c:v>-3.0927536231884001</c:v>
                </c:pt>
                <c:pt idx="19">
                  <c:v>-4.1882352941176402</c:v>
                </c:pt>
                <c:pt idx="20">
                  <c:v>-5.1515151515151496</c:v>
                </c:pt>
                <c:pt idx="21">
                  <c:v>-3.4615384615384599</c:v>
                </c:pt>
                <c:pt idx="22">
                  <c:v>-4</c:v>
                </c:pt>
                <c:pt idx="23">
                  <c:v>-2.9206349206349098</c:v>
                </c:pt>
                <c:pt idx="24">
                  <c:v>-0.318032786885246</c:v>
                </c:pt>
                <c:pt idx="25">
                  <c:v>1.2666666666666599</c:v>
                </c:pt>
                <c:pt idx="26">
                  <c:v>-1.2135593220338901</c:v>
                </c:pt>
                <c:pt idx="27">
                  <c:v>-3.50344827586206</c:v>
                </c:pt>
                <c:pt idx="28">
                  <c:v>-4.0857142857142801</c:v>
                </c:pt>
                <c:pt idx="29">
                  <c:v>-1.4592592592592499</c:v>
                </c:pt>
                <c:pt idx="30">
                  <c:v>-4.9547169811320702</c:v>
                </c:pt>
                <c:pt idx="31">
                  <c:v>-2.19999999999999</c:v>
                </c:pt>
                <c:pt idx="32">
                  <c:v>-2.5999999999999899</c:v>
                </c:pt>
                <c:pt idx="33">
                  <c:v>-4.25</c:v>
                </c:pt>
                <c:pt idx="34">
                  <c:v>0.489361702127659</c:v>
                </c:pt>
                <c:pt idx="35">
                  <c:v>-3.7391304347826</c:v>
                </c:pt>
                <c:pt idx="36">
                  <c:v>-5.55555555555555</c:v>
                </c:pt>
                <c:pt idx="37">
                  <c:v>-4.4545454545454497</c:v>
                </c:pt>
                <c:pt idx="38">
                  <c:v>-5.9238095238095196</c:v>
                </c:pt>
                <c:pt idx="39">
                  <c:v>-9.3512195121951205</c:v>
                </c:pt>
                <c:pt idx="40">
                  <c:v>-6.8999999999999897</c:v>
                </c:pt>
                <c:pt idx="41">
                  <c:v>-8.5538461538461501</c:v>
                </c:pt>
                <c:pt idx="42">
                  <c:v>-11.0315789473684</c:v>
                </c:pt>
                <c:pt idx="43">
                  <c:v>-6.8594594594594502</c:v>
                </c:pt>
                <c:pt idx="44">
                  <c:v>-6.2285714285714198</c:v>
                </c:pt>
                <c:pt idx="45">
                  <c:v>-0.65714285714285703</c:v>
                </c:pt>
                <c:pt idx="46">
                  <c:v>3.4352941176470502</c:v>
                </c:pt>
                <c:pt idx="47">
                  <c:v>11.048484848484801</c:v>
                </c:pt>
                <c:pt idx="48">
                  <c:v>9.1999999999999993</c:v>
                </c:pt>
                <c:pt idx="49">
                  <c:v>10.1677419354838</c:v>
                </c:pt>
                <c:pt idx="50">
                  <c:v>9.1999999999999993</c:v>
                </c:pt>
                <c:pt idx="51">
                  <c:v>0.65714285714285703</c:v>
                </c:pt>
                <c:pt idx="52">
                  <c:v>-0.31111111111111001</c:v>
                </c:pt>
                <c:pt idx="53">
                  <c:v>6.2615384615384597</c:v>
                </c:pt>
                <c:pt idx="54">
                  <c:v>5.8</c:v>
                </c:pt>
                <c:pt idx="55">
                  <c:v>-2.7</c:v>
                </c:pt>
                <c:pt idx="56">
                  <c:v>-8.6909090909090896</c:v>
                </c:pt>
                <c:pt idx="57">
                  <c:v>-11.409523809523799</c:v>
                </c:pt>
                <c:pt idx="58">
                  <c:v>-12.789473684210501</c:v>
                </c:pt>
                <c:pt idx="59">
                  <c:v>0.71764705882352897</c:v>
                </c:pt>
                <c:pt idx="60">
                  <c:v>-3.8</c:v>
                </c:pt>
                <c:pt idx="61">
                  <c:v>4.1999999999999904</c:v>
                </c:pt>
                <c:pt idx="62">
                  <c:v>0.507692307692306</c:v>
                </c:pt>
                <c:pt idx="63">
                  <c:v>5.86666666666666</c:v>
                </c:pt>
                <c:pt idx="64">
                  <c:v>5.0181818181818096</c:v>
                </c:pt>
                <c:pt idx="65">
                  <c:v>-4.7999999999999901</c:v>
                </c:pt>
                <c:pt idx="66">
                  <c:v>-2.2000000000000002</c:v>
                </c:pt>
                <c:pt idx="67">
                  <c:v>-4.4857142857142804</c:v>
                </c:pt>
                <c:pt idx="68">
                  <c:v>-13.533333333333299</c:v>
                </c:pt>
                <c:pt idx="69">
                  <c:v>-3.6</c:v>
                </c:pt>
                <c:pt idx="70">
                  <c:v>6.3999999999999897</c:v>
                </c:pt>
                <c:pt idx="71">
                  <c:v>7.3999999999999897</c:v>
                </c:pt>
                <c:pt idx="72">
                  <c:v>16.399999999999999</c:v>
                </c:pt>
                <c:pt idx="73">
                  <c:v>-9.9626373626373592</c:v>
                </c:pt>
                <c:pt idx="74">
                  <c:v>-7.1123595505617896</c:v>
                </c:pt>
                <c:pt idx="75">
                  <c:v>-6.7272727272727204</c:v>
                </c:pt>
                <c:pt idx="76">
                  <c:v>-7.0344827586206904</c:v>
                </c:pt>
                <c:pt idx="77">
                  <c:v>-6.53488372093023</c:v>
                </c:pt>
                <c:pt idx="78">
                  <c:v>-6.3523809523809502</c:v>
                </c:pt>
                <c:pt idx="79">
                  <c:v>5.9523809523809499</c:v>
                </c:pt>
              </c:numCache>
            </c:numRef>
          </c:val>
          <c:smooth val="0"/>
          <c:extLst>
            <c:ext xmlns:c16="http://schemas.microsoft.com/office/drawing/2014/chart" uri="{C3380CC4-5D6E-409C-BE32-E72D297353CC}">
              <c16:uniqueId val="{00000000-C0C4-4B55-8F39-AA3DEAEDF3B8}"/>
            </c:ext>
          </c:extLst>
        </c:ser>
        <c:dLbls>
          <c:showLegendKey val="0"/>
          <c:showVal val="0"/>
          <c:showCatName val="0"/>
          <c:showSerName val="0"/>
          <c:showPercent val="0"/>
          <c:showBubbleSize val="0"/>
        </c:dLbls>
        <c:smooth val="0"/>
        <c:axId val="1104472415"/>
        <c:axId val="1100285039"/>
      </c:lineChart>
      <c:catAx>
        <c:axId val="1104472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0285039"/>
        <c:crosses val="autoZero"/>
        <c:auto val="1"/>
        <c:lblAlgn val="ctr"/>
        <c:lblOffset val="100"/>
        <c:noMultiLvlLbl val="0"/>
      </c:catAx>
      <c:valAx>
        <c:axId val="11002850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447241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'Master Data'!$K$31:$K$100</c:f>
              <c:numCache>
                <c:formatCode>General</c:formatCode>
                <c:ptCount val="70"/>
                <c:pt idx="0">
                  <c:v>-8.79120879120876E-2</c:v>
                </c:pt>
                <c:pt idx="1">
                  <c:v>-0.22222222222222099</c:v>
                </c:pt>
                <c:pt idx="2">
                  <c:v>-0.46067415730336903</c:v>
                </c:pt>
                <c:pt idx="3">
                  <c:v>0.5</c:v>
                </c:pt>
                <c:pt idx="4">
                  <c:v>-0.42528735632183801</c:v>
                </c:pt>
                <c:pt idx="5">
                  <c:v>-0.32558139534884101</c:v>
                </c:pt>
                <c:pt idx="6">
                  <c:v>0.66666666666666696</c:v>
                </c:pt>
                <c:pt idx="7">
                  <c:v>1.5180722891566201</c:v>
                </c:pt>
                <c:pt idx="8">
                  <c:v>1.17073170731707</c:v>
                </c:pt>
                <c:pt idx="9">
                  <c:v>2.9012345679012301</c:v>
                </c:pt>
                <c:pt idx="10">
                  <c:v>1.75</c:v>
                </c:pt>
                <c:pt idx="11">
                  <c:v>-0.82051282051281904</c:v>
                </c:pt>
                <c:pt idx="12">
                  <c:v>12.012987012987001</c:v>
                </c:pt>
                <c:pt idx="13">
                  <c:v>11.3157894736842</c:v>
                </c:pt>
                <c:pt idx="14">
                  <c:v>12.6666666666666</c:v>
                </c:pt>
                <c:pt idx="15">
                  <c:v>12.270270270270199</c:v>
                </c:pt>
                <c:pt idx="16">
                  <c:v>12.8630136986301</c:v>
                </c:pt>
                <c:pt idx="17">
                  <c:v>2.77464788732394</c:v>
                </c:pt>
                <c:pt idx="18">
                  <c:v>3.5714285714285698</c:v>
                </c:pt>
                <c:pt idx="19">
                  <c:v>3.3623188405797002</c:v>
                </c:pt>
                <c:pt idx="20">
                  <c:v>2.70588235294117</c:v>
                </c:pt>
                <c:pt idx="21">
                  <c:v>2.2089552238805998</c:v>
                </c:pt>
                <c:pt idx="22">
                  <c:v>0.51515151515151503</c:v>
                </c:pt>
                <c:pt idx="23">
                  <c:v>5.48484848484848</c:v>
                </c:pt>
                <c:pt idx="24">
                  <c:v>6.2307692307692299</c:v>
                </c:pt>
                <c:pt idx="25">
                  <c:v>5.5625</c:v>
                </c:pt>
                <c:pt idx="26">
                  <c:v>5.4920634920634903</c:v>
                </c:pt>
                <c:pt idx="27">
                  <c:v>1.38709677419355</c:v>
                </c:pt>
                <c:pt idx="28">
                  <c:v>-0.66666666666666596</c:v>
                </c:pt>
                <c:pt idx="29">
                  <c:v>2.7457627118643999</c:v>
                </c:pt>
                <c:pt idx="30">
                  <c:v>2.41379310344827</c:v>
                </c:pt>
                <c:pt idx="31">
                  <c:v>0.42857142857142799</c:v>
                </c:pt>
                <c:pt idx="32">
                  <c:v>0.90909090909090795</c:v>
                </c:pt>
                <c:pt idx="33">
                  <c:v>1.4814814814814801</c:v>
                </c:pt>
                <c:pt idx="34">
                  <c:v>6.2452830188679203</c:v>
                </c:pt>
                <c:pt idx="35">
                  <c:v>6.1538461538461497</c:v>
                </c:pt>
                <c:pt idx="36">
                  <c:v>-1</c:v>
                </c:pt>
                <c:pt idx="37">
                  <c:v>0.63265306122448794</c:v>
                </c:pt>
                <c:pt idx="38">
                  <c:v>-18.75</c:v>
                </c:pt>
                <c:pt idx="39">
                  <c:v>-21.276595744680801</c:v>
                </c:pt>
                <c:pt idx="40">
                  <c:v>-30.434782608695599</c:v>
                </c:pt>
                <c:pt idx="41">
                  <c:v>-33.3333333333333</c:v>
                </c:pt>
                <c:pt idx="42">
                  <c:v>7</c:v>
                </c:pt>
                <c:pt idx="43">
                  <c:v>5.71428571428571</c:v>
                </c:pt>
                <c:pt idx="44">
                  <c:v>4.1707317073170698</c:v>
                </c:pt>
                <c:pt idx="45">
                  <c:v>2.7435897435897401</c:v>
                </c:pt>
                <c:pt idx="46">
                  <c:v>1.31578947368421</c:v>
                </c:pt>
                <c:pt idx="47">
                  <c:v>0.86486486486486303</c:v>
                </c:pt>
                <c:pt idx="48">
                  <c:v>2.3333333333333202</c:v>
                </c:pt>
                <c:pt idx="49">
                  <c:v>7.1428571428571397</c:v>
                </c:pt>
                <c:pt idx="50">
                  <c:v>3</c:v>
                </c:pt>
                <c:pt idx="51">
                  <c:v>-1.375</c:v>
                </c:pt>
                <c:pt idx="52">
                  <c:v>0</c:v>
                </c:pt>
                <c:pt idx="53">
                  <c:v>1</c:v>
                </c:pt>
                <c:pt idx="54">
                  <c:v>2.6206896551724101</c:v>
                </c:pt>
                <c:pt idx="55">
                  <c:v>-1.1111111111111101</c:v>
                </c:pt>
                <c:pt idx="56">
                  <c:v>-4.2307692307692299</c:v>
                </c:pt>
                <c:pt idx="57" formatCode="0.00E+00">
                  <c:v>-3.5527136788005001E-15</c:v>
                </c:pt>
                <c:pt idx="58">
                  <c:v>0.83333333333333204</c:v>
                </c:pt>
                <c:pt idx="59">
                  <c:v>-0.78260869565217195</c:v>
                </c:pt>
                <c:pt idx="60">
                  <c:v>0.238095238095238</c:v>
                </c:pt>
                <c:pt idx="61">
                  <c:v>3</c:v>
                </c:pt>
                <c:pt idx="62">
                  <c:v>-20.105263157894701</c:v>
                </c:pt>
                <c:pt idx="63">
                  <c:v>-14.529411764705801</c:v>
                </c:pt>
                <c:pt idx="64">
                  <c:v>-4.3333333333333304</c:v>
                </c:pt>
                <c:pt idx="65">
                  <c:v>0.57142857142857295</c:v>
                </c:pt>
                <c:pt idx="66">
                  <c:v>2.9230769230769198</c:v>
                </c:pt>
                <c:pt idx="67">
                  <c:v>-3.6666666666666701</c:v>
                </c:pt>
                <c:pt idx="68">
                  <c:v>0</c:v>
                </c:pt>
                <c:pt idx="69">
                  <c:v>-0.22222222222222099</c:v>
                </c:pt>
              </c:numCache>
            </c:numRef>
          </c:val>
          <c:smooth val="0"/>
          <c:extLst>
            <c:ext xmlns:c16="http://schemas.microsoft.com/office/drawing/2014/chart" uri="{C3380CC4-5D6E-409C-BE32-E72D297353CC}">
              <c16:uniqueId val="{00000000-A242-48B6-A63E-ADCA993BAC6B}"/>
            </c:ext>
          </c:extLst>
        </c:ser>
        <c:ser>
          <c:idx val="1"/>
          <c:order val="1"/>
          <c:spPr>
            <a:ln w="28575" cap="rnd">
              <a:solidFill>
                <a:schemeClr val="accent2"/>
              </a:solidFill>
              <a:round/>
            </a:ln>
            <a:effectLst/>
          </c:spPr>
          <c:marker>
            <c:symbol val="none"/>
          </c:marker>
          <c:val>
            <c:numRef>
              <c:f>'Master Data'!$L$31:$L$100</c:f>
              <c:numCache>
                <c:formatCode>General</c:formatCode>
                <c:ptCount val="70"/>
                <c:pt idx="0">
                  <c:v>1</c:v>
                </c:pt>
                <c:pt idx="1">
                  <c:v>1.88888888888888</c:v>
                </c:pt>
                <c:pt idx="2">
                  <c:v>1.7640449438202199</c:v>
                </c:pt>
                <c:pt idx="3">
                  <c:v>1.13636363636363</c:v>
                </c:pt>
                <c:pt idx="4">
                  <c:v>-1.02790697674418</c:v>
                </c:pt>
                <c:pt idx="5">
                  <c:v>-4.7058823529411598E-2</c:v>
                </c:pt>
                <c:pt idx="6">
                  <c:v>-0.78095238095238095</c:v>
                </c:pt>
                <c:pt idx="7">
                  <c:v>-1.36385542168674</c:v>
                </c:pt>
                <c:pt idx="8">
                  <c:v>-1.96097560975609</c:v>
                </c:pt>
                <c:pt idx="9">
                  <c:v>-1.05</c:v>
                </c:pt>
                <c:pt idx="10">
                  <c:v>-1.19240506329114</c:v>
                </c:pt>
                <c:pt idx="11">
                  <c:v>-0.31282051282051099</c:v>
                </c:pt>
                <c:pt idx="12">
                  <c:v>0.53684210526315801</c:v>
                </c:pt>
                <c:pt idx="13">
                  <c:v>0.8</c:v>
                </c:pt>
                <c:pt idx="14">
                  <c:v>-0.76756756756756706</c:v>
                </c:pt>
                <c:pt idx="15">
                  <c:v>-0.96712328767123101</c:v>
                </c:pt>
                <c:pt idx="16">
                  <c:v>0.63333333333333197</c:v>
                </c:pt>
                <c:pt idx="17">
                  <c:v>-2.8169014084511398E-3</c:v>
                </c:pt>
                <c:pt idx="18">
                  <c:v>-3.0927536231884001</c:v>
                </c:pt>
                <c:pt idx="19">
                  <c:v>-4.1882352941176402</c:v>
                </c:pt>
                <c:pt idx="20">
                  <c:v>-5.1515151515151496</c:v>
                </c:pt>
                <c:pt idx="21">
                  <c:v>-3.4615384615384599</c:v>
                </c:pt>
                <c:pt idx="22">
                  <c:v>-4</c:v>
                </c:pt>
                <c:pt idx="23">
                  <c:v>-2.9206349206349098</c:v>
                </c:pt>
                <c:pt idx="24">
                  <c:v>-0.318032786885246</c:v>
                </c:pt>
                <c:pt idx="25">
                  <c:v>1.2666666666666599</c:v>
                </c:pt>
                <c:pt idx="26">
                  <c:v>-1.2135593220338901</c:v>
                </c:pt>
                <c:pt idx="27">
                  <c:v>-3.50344827586206</c:v>
                </c:pt>
                <c:pt idx="28">
                  <c:v>-4.0857142857142801</c:v>
                </c:pt>
                <c:pt idx="29">
                  <c:v>-1.4592592592592499</c:v>
                </c:pt>
                <c:pt idx="30">
                  <c:v>-4.9547169811320702</c:v>
                </c:pt>
                <c:pt idx="31">
                  <c:v>-2.19999999999999</c:v>
                </c:pt>
                <c:pt idx="32">
                  <c:v>-2.5999999999999899</c:v>
                </c:pt>
                <c:pt idx="33">
                  <c:v>-4.25</c:v>
                </c:pt>
                <c:pt idx="34">
                  <c:v>0.489361702127659</c:v>
                </c:pt>
                <c:pt idx="35">
                  <c:v>-3.7391304347826</c:v>
                </c:pt>
                <c:pt idx="36">
                  <c:v>-5.55555555555555</c:v>
                </c:pt>
                <c:pt idx="37">
                  <c:v>-4.4545454545454497</c:v>
                </c:pt>
                <c:pt idx="38">
                  <c:v>-5.9238095238095196</c:v>
                </c:pt>
                <c:pt idx="39">
                  <c:v>-9.3512195121951205</c:v>
                </c:pt>
                <c:pt idx="40">
                  <c:v>-6.8999999999999897</c:v>
                </c:pt>
                <c:pt idx="41">
                  <c:v>-8.5538461538461501</c:v>
                </c:pt>
                <c:pt idx="42">
                  <c:v>-11.0315789473684</c:v>
                </c:pt>
                <c:pt idx="43">
                  <c:v>-6.8594594594594502</c:v>
                </c:pt>
                <c:pt idx="44">
                  <c:v>-6.2285714285714198</c:v>
                </c:pt>
                <c:pt idx="45">
                  <c:v>-0.65714285714285703</c:v>
                </c:pt>
                <c:pt idx="46">
                  <c:v>3.4352941176470502</c:v>
                </c:pt>
                <c:pt idx="47">
                  <c:v>11.048484848484801</c:v>
                </c:pt>
                <c:pt idx="48">
                  <c:v>9.1999999999999993</c:v>
                </c:pt>
                <c:pt idx="49">
                  <c:v>10.1677419354838</c:v>
                </c:pt>
                <c:pt idx="50">
                  <c:v>9.1999999999999993</c:v>
                </c:pt>
                <c:pt idx="51">
                  <c:v>0.65714285714285703</c:v>
                </c:pt>
                <c:pt idx="52">
                  <c:v>-0.31111111111111001</c:v>
                </c:pt>
                <c:pt idx="53">
                  <c:v>6.2615384615384597</c:v>
                </c:pt>
                <c:pt idx="54">
                  <c:v>5.8</c:v>
                </c:pt>
                <c:pt idx="55">
                  <c:v>-2.7</c:v>
                </c:pt>
                <c:pt idx="56">
                  <c:v>-8.6909090909090896</c:v>
                </c:pt>
                <c:pt idx="57">
                  <c:v>-11.409523809523799</c:v>
                </c:pt>
                <c:pt idx="58">
                  <c:v>-12.789473684210501</c:v>
                </c:pt>
                <c:pt idx="59">
                  <c:v>0.71764705882352897</c:v>
                </c:pt>
                <c:pt idx="60">
                  <c:v>-3.8</c:v>
                </c:pt>
                <c:pt idx="61">
                  <c:v>4.1999999999999904</c:v>
                </c:pt>
                <c:pt idx="62">
                  <c:v>0.507692307692306</c:v>
                </c:pt>
                <c:pt idx="63">
                  <c:v>5.86666666666666</c:v>
                </c:pt>
                <c:pt idx="64">
                  <c:v>5.0181818181818096</c:v>
                </c:pt>
                <c:pt idx="65">
                  <c:v>-4.7999999999999901</c:v>
                </c:pt>
                <c:pt idx="66">
                  <c:v>-2.2000000000000002</c:v>
                </c:pt>
                <c:pt idx="67">
                  <c:v>-4.4857142857142804</c:v>
                </c:pt>
                <c:pt idx="68">
                  <c:v>-13.533333333333299</c:v>
                </c:pt>
                <c:pt idx="69">
                  <c:v>-3.6</c:v>
                </c:pt>
              </c:numCache>
            </c:numRef>
          </c:val>
          <c:smooth val="0"/>
          <c:extLst>
            <c:ext xmlns:c16="http://schemas.microsoft.com/office/drawing/2014/chart" uri="{C3380CC4-5D6E-409C-BE32-E72D297353CC}">
              <c16:uniqueId val="{00000001-A242-48B6-A63E-ADCA993BAC6B}"/>
            </c:ext>
          </c:extLst>
        </c:ser>
        <c:dLbls>
          <c:showLegendKey val="0"/>
          <c:showVal val="0"/>
          <c:showCatName val="0"/>
          <c:showSerName val="0"/>
          <c:showPercent val="0"/>
          <c:showBubbleSize val="0"/>
        </c:dLbls>
        <c:smooth val="0"/>
        <c:axId val="2047641039"/>
        <c:axId val="1100252399"/>
      </c:lineChart>
      <c:catAx>
        <c:axId val="2047641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0252399"/>
        <c:crosses val="autoZero"/>
        <c:auto val="1"/>
        <c:lblAlgn val="ctr"/>
        <c:lblOffset val="100"/>
        <c:noMultiLvlLbl val="0"/>
      </c:catAx>
      <c:valAx>
        <c:axId val="11002523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76410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'Master Data'!$E$173</c:f>
              <c:strCache>
                <c:ptCount val="1"/>
                <c:pt idx="0">
                  <c:v>Average Rounds to 200</c:v>
                </c:pt>
              </c:strCache>
            </c:strRef>
          </c:tx>
          <c:spPr>
            <a:solidFill>
              <a:schemeClr val="accent1"/>
            </a:solidFill>
            <a:ln>
              <a:noFill/>
            </a:ln>
            <a:effectLst/>
          </c:spPr>
          <c:invertIfNegative val="0"/>
          <c:cat>
            <c:strRef>
              <c:f>'Master Data'!$C$174:$C$188</c:f>
              <c:strCache>
                <c:ptCount val="15"/>
                <c:pt idx="0">
                  <c:v>Always Bank (Score 20 +)</c:v>
                </c:pt>
                <c:pt idx="1">
                  <c:v>Always Bank (Score 21 +)</c:v>
                </c:pt>
                <c:pt idx="2">
                  <c:v>Always Bank (Score 22 +)</c:v>
                </c:pt>
                <c:pt idx="3">
                  <c:v>Always Bank (Score 23 +)</c:v>
                </c:pt>
                <c:pt idx="4">
                  <c:v>Always Bank (Score 24 +)</c:v>
                </c:pt>
                <c:pt idx="5">
                  <c:v>Always Bank (Score 25 +)</c:v>
                </c:pt>
                <c:pt idx="6">
                  <c:v>Always Bank (Score 26 +)</c:v>
                </c:pt>
                <c:pt idx="7">
                  <c:v>Always Bank (Score 27 +)</c:v>
                </c:pt>
                <c:pt idx="8">
                  <c:v>Always Bank (Score 28 +)</c:v>
                </c:pt>
                <c:pt idx="9">
                  <c:v>Always Bank (Score 29 +)</c:v>
                </c:pt>
                <c:pt idx="10">
                  <c:v>Always Bank (Score 30 +)</c:v>
                </c:pt>
                <c:pt idx="11">
                  <c:v>Always Bank (Score 31 +)</c:v>
                </c:pt>
                <c:pt idx="12">
                  <c:v>Always Bank (Score 32+)</c:v>
                </c:pt>
                <c:pt idx="13">
                  <c:v>Always Bank (Score 33+)</c:v>
                </c:pt>
                <c:pt idx="14">
                  <c:v>Always Bank (Score 34+)</c:v>
                </c:pt>
              </c:strCache>
            </c:strRef>
          </c:cat>
          <c:val>
            <c:numRef>
              <c:f>'Master Data'!$E$174:$E$188</c:f>
              <c:numCache>
                <c:formatCode>General</c:formatCode>
                <c:ptCount val="15"/>
                <c:pt idx="0">
                  <c:v>10.695829</c:v>
                </c:pt>
                <c:pt idx="1">
                  <c:v>10.532031</c:v>
                </c:pt>
                <c:pt idx="2">
                  <c:v>10.372769999999999</c:v>
                </c:pt>
                <c:pt idx="3">
                  <c:v>10.306252000000001</c:v>
                </c:pt>
                <c:pt idx="4">
                  <c:v>10.226029</c:v>
                </c:pt>
                <c:pt idx="5">
                  <c:v>10.118207999999999</c:v>
                </c:pt>
                <c:pt idx="6">
                  <c:v>10.109500000000001</c:v>
                </c:pt>
                <c:pt idx="7">
                  <c:v>10.168869000000001</c:v>
                </c:pt>
                <c:pt idx="8">
                  <c:v>10.235564</c:v>
                </c:pt>
                <c:pt idx="9">
                  <c:v>10.247678000000001</c:v>
                </c:pt>
                <c:pt idx="10">
                  <c:v>10.229124000000001</c:v>
                </c:pt>
                <c:pt idx="11">
                  <c:v>10.260602</c:v>
                </c:pt>
                <c:pt idx="12">
                  <c:v>10.400808</c:v>
                </c:pt>
                <c:pt idx="13">
                  <c:v>10.639106</c:v>
                </c:pt>
                <c:pt idx="14">
                  <c:v>10.911483</c:v>
                </c:pt>
              </c:numCache>
            </c:numRef>
          </c:val>
          <c:extLst>
            <c:ext xmlns:c16="http://schemas.microsoft.com/office/drawing/2014/chart" uri="{C3380CC4-5D6E-409C-BE32-E72D297353CC}">
              <c16:uniqueId val="{00000000-B09C-452B-A203-AA15391606A3}"/>
            </c:ext>
          </c:extLst>
        </c:ser>
        <c:dLbls>
          <c:showLegendKey val="0"/>
          <c:showVal val="0"/>
          <c:showCatName val="0"/>
          <c:showSerName val="0"/>
          <c:showPercent val="0"/>
          <c:showBubbleSize val="0"/>
        </c:dLbls>
        <c:gapWidth val="219"/>
        <c:overlap val="-27"/>
        <c:axId val="1482359951"/>
        <c:axId val="1482361871"/>
      </c:barChart>
      <c:catAx>
        <c:axId val="14823599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361871"/>
        <c:crosses val="autoZero"/>
        <c:auto val="1"/>
        <c:lblAlgn val="ctr"/>
        <c:lblOffset val="100"/>
        <c:noMultiLvlLbl val="0"/>
      </c:catAx>
      <c:valAx>
        <c:axId val="14823618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3599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43</xdr:col>
      <xdr:colOff>487455</xdr:colOff>
      <xdr:row>24</xdr:row>
      <xdr:rowOff>149864</xdr:rowOff>
    </xdr:from>
    <xdr:to>
      <xdr:col>71</xdr:col>
      <xdr:colOff>69371</xdr:colOff>
      <xdr:row>51</xdr:row>
      <xdr:rowOff>144075</xdr:rowOff>
    </xdr:to>
    <xdr:graphicFrame macro="">
      <xdr:nvGraphicFramePr>
        <xdr:cNvPr id="4" name="Chart 3">
          <a:extLst>
            <a:ext uri="{FF2B5EF4-FFF2-40B4-BE49-F238E27FC236}">
              <a16:creationId xmlns:a16="http://schemas.microsoft.com/office/drawing/2014/main" id="{AD5B72C6-0646-7192-0451-B910F8FD88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43</xdr:col>
      <xdr:colOff>494795</xdr:colOff>
      <xdr:row>53</xdr:row>
      <xdr:rowOff>75466</xdr:rowOff>
    </xdr:from>
    <xdr:to>
      <xdr:col>71</xdr:col>
      <xdr:colOff>106469</xdr:colOff>
      <xdr:row>80</xdr:row>
      <xdr:rowOff>18316</xdr:rowOff>
    </xdr:to>
    <xdr:graphicFrame macro="">
      <xdr:nvGraphicFramePr>
        <xdr:cNvPr id="2" name="Chart 1">
          <a:extLst>
            <a:ext uri="{FF2B5EF4-FFF2-40B4-BE49-F238E27FC236}">
              <a16:creationId xmlns:a16="http://schemas.microsoft.com/office/drawing/2014/main" id="{6EA562A4-6E38-B42B-96CA-6F587266E9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333796</xdr:colOff>
      <xdr:row>81</xdr:row>
      <xdr:rowOff>65923</xdr:rowOff>
    </xdr:from>
    <xdr:to>
      <xdr:col>52</xdr:col>
      <xdr:colOff>476673</xdr:colOff>
      <xdr:row>105</xdr:row>
      <xdr:rowOff>45216</xdr:rowOff>
    </xdr:to>
    <xdr:graphicFrame macro="">
      <xdr:nvGraphicFramePr>
        <xdr:cNvPr id="5" name="Chart 4">
          <a:extLst>
            <a:ext uri="{FF2B5EF4-FFF2-40B4-BE49-F238E27FC236}">
              <a16:creationId xmlns:a16="http://schemas.microsoft.com/office/drawing/2014/main" id="{D51CC805-8A36-3C4F-3F65-51337E6002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668365</xdr:colOff>
      <xdr:row>188</xdr:row>
      <xdr:rowOff>129798</xdr:rowOff>
    </xdr:from>
    <xdr:to>
      <xdr:col>6</xdr:col>
      <xdr:colOff>857251</xdr:colOff>
      <xdr:row>202</xdr:row>
      <xdr:rowOff>160795</xdr:rowOff>
    </xdr:to>
    <xdr:graphicFrame macro="">
      <xdr:nvGraphicFramePr>
        <xdr:cNvPr id="7" name="Chart 6">
          <a:extLst>
            <a:ext uri="{FF2B5EF4-FFF2-40B4-BE49-F238E27FC236}">
              <a16:creationId xmlns:a16="http://schemas.microsoft.com/office/drawing/2014/main" id="{EE0D0FBD-58B1-5534-417F-409128ADAD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b39dc15afb2f4832/Documents/Stuff/Github/Flip-7-Strategy-Finder/Flip%207%20Data%20(2nd%20test%20stage).xlsx" TargetMode="External"/><Relationship Id="rId1" Type="http://schemas.openxmlformats.org/officeDocument/2006/relationships/externalLinkPath" Target="Flip%207%20Data%20(2nd%20test%20stag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nk Score 21+"/>
      <sheetName val="Bank Score 22+"/>
      <sheetName val="Bank Score 23+"/>
      <sheetName val="Bank Score 24+"/>
      <sheetName val="Bank Score 26+"/>
      <sheetName val="Bank Score 27+"/>
      <sheetName val="Bank Score 28+"/>
      <sheetName val="Bank Score 29+"/>
      <sheetName val="Individual Odds 18%"/>
      <sheetName val="Individual Odds 22%"/>
      <sheetName val="Individual Odds 24%"/>
      <sheetName val="Individual Odds 26%"/>
      <sheetName val="Individual Odds 28%"/>
      <sheetName val="Individual Odds 32%"/>
    </sheetNames>
    <sheetDataSet>
      <sheetData sheetId="0">
        <row r="103">
          <cell r="AD103">
            <v>10.46</v>
          </cell>
          <cell r="AE103">
            <v>2.14</v>
          </cell>
          <cell r="AF103">
            <v>8.32</v>
          </cell>
          <cell r="AG103">
            <v>25.835992063492068</v>
          </cell>
        </row>
      </sheetData>
      <sheetData sheetId="1">
        <row r="103">
          <cell r="AD103">
            <v>10.3</v>
          </cell>
          <cell r="AE103">
            <v>2.2599999999999998</v>
          </cell>
          <cell r="AF103">
            <v>8.0399999999999991</v>
          </cell>
          <cell r="AG103">
            <v>26.516269841269835</v>
          </cell>
        </row>
      </sheetData>
      <sheetData sheetId="2">
        <row r="103">
          <cell r="AD103">
            <v>9.81</v>
          </cell>
          <cell r="AE103">
            <v>2.11</v>
          </cell>
          <cell r="AF103">
            <v>7.7</v>
          </cell>
          <cell r="AG103">
            <v>27.740297619047613</v>
          </cell>
        </row>
      </sheetData>
      <sheetData sheetId="3">
        <row r="103">
          <cell r="AD103">
            <v>10.42</v>
          </cell>
          <cell r="AE103">
            <v>2.95</v>
          </cell>
          <cell r="AF103">
            <v>7.47</v>
          </cell>
          <cell r="AG103">
            <v>28.778928571428573</v>
          </cell>
        </row>
      </sheetData>
      <sheetData sheetId="4">
        <row r="103">
          <cell r="AD103">
            <v>10.44</v>
          </cell>
          <cell r="AE103">
            <v>3.49</v>
          </cell>
          <cell r="AF103">
            <v>6.95</v>
          </cell>
          <cell r="AG103">
            <v>30.939047619047614</v>
          </cell>
        </row>
      </sheetData>
      <sheetData sheetId="5">
        <row r="104">
          <cell r="AD104">
            <v>10.35</v>
          </cell>
          <cell r="AE104">
            <v>3.57</v>
          </cell>
          <cell r="AF104">
            <v>6.78</v>
          </cell>
          <cell r="AG104">
            <v>32.142559523809524</v>
          </cell>
        </row>
      </sheetData>
      <sheetData sheetId="6">
        <row r="104">
          <cell r="AD104">
            <v>10.67</v>
          </cell>
          <cell r="AE104">
            <v>3.95</v>
          </cell>
          <cell r="AF104">
            <v>6.72</v>
          </cell>
          <cell r="AG104">
            <v>32.876904761904761</v>
          </cell>
        </row>
      </sheetData>
      <sheetData sheetId="7">
        <row r="103">
          <cell r="AD103">
            <v>11.19</v>
          </cell>
          <cell r="AE103">
            <v>4.7300000000000004</v>
          </cell>
          <cell r="AF103">
            <v>6.46</v>
          </cell>
          <cell r="AG103">
            <v>33.759904761904764</v>
          </cell>
        </row>
      </sheetData>
      <sheetData sheetId="8">
        <row r="103">
          <cell r="AD103">
            <v>11.12</v>
          </cell>
          <cell r="AE103">
            <v>2.27</v>
          </cell>
          <cell r="AF103">
            <v>8.85</v>
          </cell>
          <cell r="AG103">
            <v>24.296027417027421</v>
          </cell>
        </row>
      </sheetData>
      <sheetData sheetId="9">
        <row r="103">
          <cell r="AD103">
            <v>10.52</v>
          </cell>
          <cell r="AE103">
            <v>2.82</v>
          </cell>
          <cell r="AF103">
            <v>7.7</v>
          </cell>
          <cell r="AG103">
            <v>28.177678571428572</v>
          </cell>
        </row>
      </sheetData>
      <sheetData sheetId="10">
        <row r="103">
          <cell r="AD103">
            <v>10.94</v>
          </cell>
          <cell r="AE103">
            <v>3.72</v>
          </cell>
          <cell r="AF103">
            <v>7.22</v>
          </cell>
          <cell r="AG103">
            <v>30.149138888888888</v>
          </cell>
        </row>
      </sheetData>
      <sheetData sheetId="11">
        <row r="103">
          <cell r="AD103">
            <v>10.55</v>
          </cell>
          <cell r="AE103">
            <v>3.77</v>
          </cell>
          <cell r="AF103">
            <v>6.78</v>
          </cell>
          <cell r="AG103">
            <v>32.079047619047621</v>
          </cell>
        </row>
      </sheetData>
      <sheetData sheetId="12">
        <row r="103">
          <cell r="AD103">
            <v>10.76</v>
          </cell>
          <cell r="AE103">
            <v>4.38</v>
          </cell>
          <cell r="AF103">
            <v>6.38</v>
          </cell>
          <cell r="AG103">
            <v>34.557734126984116</v>
          </cell>
        </row>
      </sheetData>
      <sheetData sheetId="13">
        <row r="103">
          <cell r="AD103">
            <v>11.21</v>
          </cell>
          <cell r="AE103">
            <v>5.38</v>
          </cell>
          <cell r="AF103">
            <v>5.83</v>
          </cell>
          <cell r="AG103">
            <v>38.144023809523816</v>
          </cell>
        </row>
      </sheetData>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61DB0-E066-4D80-9F31-EE0FB08E8CE2}">
  <dimension ref="C2:CS220"/>
  <sheetViews>
    <sheetView tabSelected="1" topLeftCell="A177" zoomScale="146" zoomScaleNormal="46" workbookViewId="0">
      <selection activeCell="C186" sqref="C186:I186"/>
    </sheetView>
  </sheetViews>
  <sheetFormatPr defaultRowHeight="15"/>
  <cols>
    <col min="3" max="3" width="28.28515625" bestFit="1" customWidth="1"/>
    <col min="4" max="4" width="20.85546875" bestFit="1" customWidth="1"/>
    <col min="5" max="5" width="21.85546875" bestFit="1" customWidth="1"/>
    <col min="6" max="7" width="25.28515625" bestFit="1" customWidth="1"/>
    <col min="8" max="8" width="23.28515625" bestFit="1" customWidth="1"/>
    <col min="9" max="9" width="18" bestFit="1" customWidth="1"/>
    <col min="10" max="11" width="20.7109375" bestFit="1" customWidth="1"/>
    <col min="12" max="12" width="28.28515625" bestFit="1" customWidth="1"/>
  </cols>
  <sheetData>
    <row r="2" spans="3:8">
      <c r="C2" t="s">
        <v>0</v>
      </c>
    </row>
    <row r="3" spans="3:8">
      <c r="C3" t="s">
        <v>91</v>
      </c>
    </row>
    <row r="5" spans="3:8">
      <c r="D5" t="s">
        <v>10</v>
      </c>
      <c r="E5" t="s">
        <v>79</v>
      </c>
      <c r="F5" t="s">
        <v>78</v>
      </c>
      <c r="G5" t="s">
        <v>77</v>
      </c>
      <c r="H5" t="s">
        <v>53</v>
      </c>
    </row>
    <row r="6" spans="3:8">
      <c r="C6" t="s">
        <v>1</v>
      </c>
      <c r="D6" s="2">
        <f>'Human No Prob'!T13</f>
        <v>9.5</v>
      </c>
      <c r="E6" s="2">
        <f>'Human No Prob'!U13</f>
        <v>4</v>
      </c>
      <c r="F6" s="2">
        <f>'Human No Prob'!V13</f>
        <v>5.5</v>
      </c>
      <c r="G6" s="2">
        <f>'Human No Prob'!W13</f>
        <v>37.773333333333333</v>
      </c>
      <c r="H6" s="4"/>
    </row>
    <row r="7" spans="3:8">
      <c r="C7" t="s">
        <v>2</v>
      </c>
      <c r="D7" s="2">
        <f>'Human Prob'!T13</f>
        <v>9.3000000000000007</v>
      </c>
      <c r="E7" s="2">
        <f>'Human Prob'!U13</f>
        <v>3.2</v>
      </c>
      <c r="F7" s="2">
        <f>'Human Prob'!V13</f>
        <v>6.1</v>
      </c>
      <c r="G7" s="2">
        <f>'Human Prob'!W13</f>
        <v>34.860952380952384</v>
      </c>
      <c r="H7" s="4"/>
    </row>
    <row r="8" spans="3:8">
      <c r="C8" t="s">
        <v>5</v>
      </c>
      <c r="D8" s="2">
        <f>'2 Card Bank'!Y13</f>
        <v>13.1</v>
      </c>
      <c r="E8" s="2">
        <f>'2 Card Bank'!Z13</f>
        <v>1.6</v>
      </c>
      <c r="F8" s="2">
        <f>'2 Card Bank'!AA13</f>
        <v>11.5</v>
      </c>
      <c r="G8" s="2">
        <f>'2 Card Bank'!AB13</f>
        <v>18.125670995670994</v>
      </c>
      <c r="H8" s="4"/>
    </row>
    <row r="9" spans="3:8">
      <c r="C9" t="s">
        <v>3</v>
      </c>
      <c r="D9" s="2">
        <f>'3 Card Bank'!T13</f>
        <v>10.9</v>
      </c>
      <c r="E9" s="2">
        <f>'3 Card Bank'!U13</f>
        <v>2.7</v>
      </c>
      <c r="F9" s="2">
        <f>'3 Card Bank'!V13</f>
        <v>8.1999999999999993</v>
      </c>
      <c r="G9" s="2">
        <f>'3 Card Bank'!W13</f>
        <v>26.262896825396819</v>
      </c>
      <c r="H9" s="4"/>
    </row>
    <row r="10" spans="3:8">
      <c r="C10" t="s">
        <v>4</v>
      </c>
      <c r="D10" s="2">
        <f>'4 Card Bank'!Y13</f>
        <v>11.6</v>
      </c>
      <c r="E10" s="2">
        <f>'4 Card Bank'!Z13</f>
        <v>5.3</v>
      </c>
      <c r="F10" s="2">
        <f>'4 Card Bank'!AA13</f>
        <v>6.3</v>
      </c>
      <c r="G10" s="2">
        <f>'4 Card Bank'!AB13</f>
        <v>33.85</v>
      </c>
      <c r="H10" s="4"/>
    </row>
    <row r="11" spans="3:8">
      <c r="C11" t="s">
        <v>16</v>
      </c>
      <c r="D11" s="2">
        <f>'Flip7 or Bust'!T13</f>
        <v>0</v>
      </c>
      <c r="E11" s="2">
        <f>'Flip7 or Bust'!U13</f>
        <v>0</v>
      </c>
      <c r="F11" s="2">
        <f>'Flip7 or Bust'!V13</f>
        <v>0</v>
      </c>
      <c r="G11" s="2" t="e">
        <f>'Flip7 or Bust'!W13</f>
        <v>#DIV/0!</v>
      </c>
      <c r="H11" s="3"/>
    </row>
    <row r="12" spans="3:8">
      <c r="C12" t="s">
        <v>43</v>
      </c>
      <c r="D12" s="2">
        <f>'Bank Score 20+'!T13</f>
        <v>10.6</v>
      </c>
      <c r="E12" s="2">
        <f>'Bank Score 20+'!U13</f>
        <v>1.7</v>
      </c>
      <c r="F12" s="2">
        <f>'Bank Score 20+'!V13</f>
        <v>8.9</v>
      </c>
      <c r="G12" s="2">
        <f>'Bank Score 20+'!W13</f>
        <v>24.037500000000001</v>
      </c>
      <c r="H12" s="4"/>
    </row>
    <row r="13" spans="3:8">
      <c r="C13" t="s">
        <v>44</v>
      </c>
      <c r="D13" s="2">
        <f>'Bank Score 25+'!T13</f>
        <v>10.6</v>
      </c>
      <c r="E13" s="2">
        <f>'Bank Score 25+'!U13</f>
        <v>3.5</v>
      </c>
      <c r="F13" s="2">
        <f>'Bank Score 25+'!V13</f>
        <v>7.1</v>
      </c>
      <c r="G13" s="2">
        <f>'Bank Score 25+'!W13</f>
        <v>29.678571428571434</v>
      </c>
      <c r="H13" s="4"/>
    </row>
    <row r="14" spans="3:8">
      <c r="C14" t="s">
        <v>45</v>
      </c>
      <c r="D14" s="2">
        <f>'Bank Score 30+'!T13</f>
        <v>9.3000000000000007</v>
      </c>
      <c r="E14" s="2">
        <f>'Bank Score 30+'!U13</f>
        <v>2.9</v>
      </c>
      <c r="F14" s="2">
        <f>'Bank Score 30+'!V13</f>
        <v>6.4</v>
      </c>
      <c r="G14" s="2">
        <f>'Bank Score 30+'!W13</f>
        <v>34.114285714285714</v>
      </c>
      <c r="H14" s="4"/>
    </row>
    <row r="15" spans="3:8">
      <c r="C15" t="s">
        <v>46</v>
      </c>
      <c r="D15" s="2">
        <f>'Bank Score 35+'!Y13</f>
        <v>11.7</v>
      </c>
      <c r="E15" s="2">
        <f>'Bank Score 35+'!Z13</f>
        <v>6.3</v>
      </c>
      <c r="F15" s="2">
        <f>'Bank Score 35+'!AA13</f>
        <v>5.4</v>
      </c>
      <c r="G15" s="2">
        <f>'Bank Score 35+'!AB13</f>
        <v>40.326666666666668</v>
      </c>
      <c r="H15" s="4"/>
    </row>
    <row r="16" spans="3:8">
      <c r="C16" t="s">
        <v>47</v>
      </c>
      <c r="D16" s="2">
        <f>'Bank Score 40+'!AI13</f>
        <v>12.4</v>
      </c>
      <c r="E16" s="2">
        <f>'Bank Score 40+'!AJ13</f>
        <v>7.4</v>
      </c>
      <c r="F16" s="2">
        <f>'Bank Score 40+'!AK13</f>
        <v>5</v>
      </c>
      <c r="G16" s="2">
        <f>'Bank Score 40+'!AL13</f>
        <v>44.36</v>
      </c>
      <c r="H16" s="4"/>
    </row>
    <row r="17" spans="3:97">
      <c r="C17" t="s">
        <v>7</v>
      </c>
      <c r="D17" s="2">
        <f>'Cumulative Odds 70%'!Y13</f>
        <v>11</v>
      </c>
      <c r="E17" s="2">
        <f>'Cumulative Odds 70%'!Z13</f>
        <v>2.7</v>
      </c>
      <c r="F17" s="2">
        <f>'Cumulative Odds 70%'!AA13</f>
        <v>8.3000000000000007</v>
      </c>
      <c r="G17" s="2">
        <f>'Cumulative Odds 70%'!AB13</f>
        <v>25.304166666666667</v>
      </c>
      <c r="H17" s="4"/>
    </row>
    <row r="18" spans="3:97">
      <c r="C18" t="s">
        <v>6</v>
      </c>
      <c r="D18" s="2">
        <f>'Cumulative Odds 60%'!T13</f>
        <v>10.9</v>
      </c>
      <c r="E18" s="2">
        <f>'Cumulative Odds 60%'!U13</f>
        <v>3.9</v>
      </c>
      <c r="F18" s="2">
        <f>'Cumulative Odds 60%'!V13</f>
        <v>7</v>
      </c>
      <c r="G18" s="2">
        <f>'Cumulative Odds 60%'!W13</f>
        <v>30.782738095238095</v>
      </c>
      <c r="H18" s="4"/>
      <c r="N18" t="s">
        <v>95</v>
      </c>
      <c r="O18">
        <v>1</v>
      </c>
      <c r="P18">
        <v>2</v>
      </c>
      <c r="Q18">
        <v>3</v>
      </c>
      <c r="R18">
        <v>4</v>
      </c>
      <c r="S18">
        <v>5</v>
      </c>
      <c r="T18">
        <v>6</v>
      </c>
      <c r="U18">
        <v>7</v>
      </c>
      <c r="V18">
        <v>8</v>
      </c>
      <c r="W18">
        <v>9</v>
      </c>
      <c r="X18">
        <v>10</v>
      </c>
      <c r="Y18">
        <v>11</v>
      </c>
      <c r="Z18">
        <v>12</v>
      </c>
      <c r="AA18">
        <v>13</v>
      </c>
      <c r="AB18">
        <v>14</v>
      </c>
      <c r="AC18">
        <v>15</v>
      </c>
      <c r="AD18">
        <v>16</v>
      </c>
      <c r="AE18">
        <v>17</v>
      </c>
      <c r="AF18">
        <v>18</v>
      </c>
      <c r="AG18">
        <v>19</v>
      </c>
      <c r="AH18">
        <v>20</v>
      </c>
      <c r="AI18">
        <v>21</v>
      </c>
      <c r="AJ18">
        <v>22</v>
      </c>
      <c r="AK18">
        <v>23</v>
      </c>
      <c r="AL18">
        <v>24</v>
      </c>
      <c r="AM18">
        <v>25</v>
      </c>
      <c r="AN18">
        <v>26</v>
      </c>
      <c r="AO18">
        <v>27</v>
      </c>
      <c r="AP18">
        <v>28</v>
      </c>
      <c r="AQ18">
        <v>29</v>
      </c>
      <c r="AR18">
        <v>30</v>
      </c>
      <c r="AS18">
        <v>31</v>
      </c>
      <c r="AT18">
        <v>32</v>
      </c>
      <c r="AU18">
        <v>33</v>
      </c>
      <c r="AV18">
        <v>34</v>
      </c>
      <c r="AW18">
        <v>35</v>
      </c>
      <c r="AX18">
        <v>36</v>
      </c>
      <c r="AY18">
        <v>37</v>
      </c>
      <c r="AZ18">
        <v>38</v>
      </c>
      <c r="BA18">
        <v>39</v>
      </c>
      <c r="BB18">
        <v>40</v>
      </c>
      <c r="BC18">
        <v>41</v>
      </c>
      <c r="BD18">
        <v>42</v>
      </c>
      <c r="BE18">
        <v>43</v>
      </c>
      <c r="BF18">
        <v>44</v>
      </c>
      <c r="BG18">
        <v>45</v>
      </c>
      <c r="BH18">
        <v>46</v>
      </c>
      <c r="BI18">
        <v>47</v>
      </c>
      <c r="BJ18">
        <v>48</v>
      </c>
      <c r="BK18">
        <v>49</v>
      </c>
      <c r="BL18">
        <v>50</v>
      </c>
      <c r="BM18">
        <v>51</v>
      </c>
      <c r="BN18">
        <v>52</v>
      </c>
      <c r="BO18">
        <v>53</v>
      </c>
      <c r="BP18">
        <v>54</v>
      </c>
      <c r="BQ18">
        <v>55</v>
      </c>
      <c r="BR18">
        <v>56</v>
      </c>
      <c r="BS18">
        <v>57</v>
      </c>
      <c r="BT18">
        <v>58</v>
      </c>
      <c r="BU18">
        <v>59</v>
      </c>
      <c r="BV18">
        <v>60</v>
      </c>
      <c r="BW18">
        <v>61</v>
      </c>
      <c r="BX18">
        <v>62</v>
      </c>
      <c r="BY18">
        <v>63</v>
      </c>
      <c r="BZ18">
        <v>64</v>
      </c>
      <c r="CA18">
        <v>65</v>
      </c>
      <c r="CB18">
        <v>66</v>
      </c>
      <c r="CC18">
        <v>67</v>
      </c>
      <c r="CD18">
        <v>68</v>
      </c>
      <c r="CE18">
        <v>69</v>
      </c>
      <c r="CF18">
        <v>70</v>
      </c>
      <c r="CG18">
        <v>71</v>
      </c>
      <c r="CH18">
        <v>72</v>
      </c>
      <c r="CI18">
        <v>73</v>
      </c>
      <c r="CJ18">
        <v>74</v>
      </c>
      <c r="CK18">
        <v>75</v>
      </c>
      <c r="CL18">
        <v>76</v>
      </c>
      <c r="CM18">
        <v>77</v>
      </c>
      <c r="CN18">
        <v>78</v>
      </c>
      <c r="CO18">
        <v>79</v>
      </c>
      <c r="CP18">
        <v>80</v>
      </c>
      <c r="CQ18">
        <v>81</v>
      </c>
      <c r="CR18">
        <v>82</v>
      </c>
      <c r="CS18">
        <v>83</v>
      </c>
    </row>
    <row r="19" spans="3:97">
      <c r="C19" t="s">
        <v>8</v>
      </c>
      <c r="D19" s="2">
        <f>'Cumulative Odds 50%'!Y13</f>
        <v>11.3</v>
      </c>
      <c r="E19" s="2">
        <f>'Cumulative Odds 50%'!Z13</f>
        <v>5.0999999999999996</v>
      </c>
      <c r="F19" s="2">
        <f>'Cumulative Odds 50%'!AA13</f>
        <v>6.2</v>
      </c>
      <c r="G19" s="2">
        <f>'Cumulative Odds 50%'!AB13</f>
        <v>35.230952380952388</v>
      </c>
      <c r="H19" s="4"/>
      <c r="N19" t="s">
        <v>94</v>
      </c>
      <c r="O19">
        <v>-8.79120879120876E-2</v>
      </c>
      <c r="P19">
        <v>-0.22222222222222099</v>
      </c>
      <c r="Q19">
        <v>-0.46067415730336903</v>
      </c>
      <c r="R19">
        <v>0.5</v>
      </c>
      <c r="S19">
        <v>-0.42528735632183801</v>
      </c>
      <c r="T19">
        <v>-0.32558139534884101</v>
      </c>
      <c r="U19">
        <v>0.66666666666666696</v>
      </c>
      <c r="V19">
        <v>1.5180722891566201</v>
      </c>
      <c r="W19">
        <v>1.17073170731707</v>
      </c>
      <c r="X19">
        <v>2.9012345679012301</v>
      </c>
      <c r="Y19">
        <v>1.75</v>
      </c>
      <c r="Z19">
        <v>-0.82051282051281904</v>
      </c>
      <c r="AA19">
        <v>12.012987012987001</v>
      </c>
      <c r="AB19">
        <v>11.3157894736842</v>
      </c>
      <c r="AC19">
        <v>12.6666666666666</v>
      </c>
      <c r="AD19">
        <v>12.270270270270199</v>
      </c>
      <c r="AE19">
        <v>12.8630136986301</v>
      </c>
      <c r="AF19">
        <v>2.77464788732394</v>
      </c>
      <c r="AG19">
        <v>3.5714285714285698</v>
      </c>
      <c r="AH19">
        <v>3.3623188405797002</v>
      </c>
      <c r="AI19">
        <v>2.70588235294117</v>
      </c>
      <c r="AJ19">
        <v>2.2089552238805998</v>
      </c>
      <c r="AK19">
        <v>0.51515151515151503</v>
      </c>
      <c r="AL19">
        <v>5.48484848484848</v>
      </c>
      <c r="AM19">
        <v>6.2307692307692299</v>
      </c>
      <c r="AN19">
        <v>5.5625</v>
      </c>
      <c r="AO19">
        <v>5.4920634920634903</v>
      </c>
      <c r="AP19">
        <v>1.38709677419355</v>
      </c>
      <c r="AQ19">
        <v>-0.66666666666666596</v>
      </c>
      <c r="AR19">
        <v>2.7457627118643999</v>
      </c>
      <c r="AS19">
        <v>2.41379310344827</v>
      </c>
      <c r="AT19">
        <v>0.42857142857142799</v>
      </c>
      <c r="AU19">
        <v>0.90909090909090795</v>
      </c>
      <c r="AV19">
        <v>1.4814814814814801</v>
      </c>
      <c r="AW19">
        <v>6.2452830188679203</v>
      </c>
      <c r="AX19">
        <v>6.1538461538461497</v>
      </c>
      <c r="AY19">
        <v>-1</v>
      </c>
      <c r="AZ19">
        <v>0.63265306122448794</v>
      </c>
      <c r="BA19">
        <v>-18.75</v>
      </c>
      <c r="BB19">
        <v>-21.276595744680801</v>
      </c>
      <c r="BC19">
        <v>-30.434782608695599</v>
      </c>
      <c r="BD19">
        <v>-33.3333333333333</v>
      </c>
      <c r="BE19">
        <v>7</v>
      </c>
      <c r="BF19">
        <v>5.71428571428571</v>
      </c>
      <c r="BG19">
        <v>4.1707317073170698</v>
      </c>
      <c r="BH19">
        <v>2.7435897435897401</v>
      </c>
      <c r="BI19">
        <v>1.31578947368421</v>
      </c>
      <c r="BJ19">
        <v>0.86486486486486303</v>
      </c>
      <c r="BK19">
        <v>2.3333333333333202</v>
      </c>
      <c r="BL19">
        <v>7.1428571428571397</v>
      </c>
      <c r="BM19">
        <v>3</v>
      </c>
      <c r="BN19">
        <v>-1.375</v>
      </c>
      <c r="BO19" t="s">
        <v>93</v>
      </c>
      <c r="BP19">
        <v>1</v>
      </c>
      <c r="BQ19">
        <v>2.6206896551724101</v>
      </c>
      <c r="BR19">
        <v>-1.1111111111111101</v>
      </c>
      <c r="BS19">
        <v>-4.2307692307692299</v>
      </c>
      <c r="BT19" s="5">
        <v>-3.5527136788005001E-15</v>
      </c>
      <c r="BU19">
        <v>0.83333333333333204</v>
      </c>
      <c r="BV19">
        <v>-0.78260869565217195</v>
      </c>
      <c r="BW19">
        <v>0.238095238095238</v>
      </c>
      <c r="BX19">
        <v>3</v>
      </c>
      <c r="BY19">
        <v>-20.105263157894701</v>
      </c>
      <c r="BZ19">
        <v>-14.529411764705801</v>
      </c>
      <c r="CA19">
        <v>-4.3333333333333304</v>
      </c>
      <c r="CB19">
        <v>0.57142857142857295</v>
      </c>
      <c r="CC19">
        <v>2.9230769230769198</v>
      </c>
      <c r="CD19">
        <v>-3.6666666666666701</v>
      </c>
      <c r="CE19">
        <v>0</v>
      </c>
      <c r="CF19">
        <v>-0.22222222222222099</v>
      </c>
      <c r="CG19">
        <v>-4.5</v>
      </c>
      <c r="CH19">
        <v>12</v>
      </c>
      <c r="CI19">
        <v>23</v>
      </c>
      <c r="CJ19">
        <v>31</v>
      </c>
      <c r="CK19">
        <v>40</v>
      </c>
      <c r="CL19">
        <v>53</v>
      </c>
      <c r="CM19">
        <v>58</v>
      </c>
      <c r="CN19">
        <v>0.11111111111110999</v>
      </c>
      <c r="CO19">
        <v>0.39325842696629199</v>
      </c>
      <c r="CP19">
        <v>0</v>
      </c>
      <c r="CQ19">
        <v>0.51162790697674398</v>
      </c>
      <c r="CR19">
        <v>1.0588235294117601</v>
      </c>
      <c r="CS19">
        <v>1.52380952380952</v>
      </c>
    </row>
    <row r="20" spans="3:97">
      <c r="C20" t="s">
        <v>9</v>
      </c>
      <c r="D20" s="2">
        <f>'Cumulative Odds 40%'!Y13</f>
        <v>11.9</v>
      </c>
      <c r="E20" s="2">
        <f>'Cumulative Odds 40%'!Z13</f>
        <v>6.4</v>
      </c>
      <c r="F20" s="2">
        <f>'Cumulative Odds 40%'!AA13</f>
        <v>5.5</v>
      </c>
      <c r="G20" s="2">
        <f>'Cumulative Odds 40%'!AB13</f>
        <v>40.419999999999995</v>
      </c>
      <c r="H20" s="4"/>
    </row>
    <row r="21" spans="3:97">
      <c r="C21" t="s">
        <v>11</v>
      </c>
      <c r="D21" s="2">
        <f>'Cumulative Odds 30%'!Y13</f>
        <v>10.4</v>
      </c>
      <c r="E21" s="2">
        <f>'Cumulative Odds 30%'!Z13</f>
        <v>5.5</v>
      </c>
      <c r="F21" s="2">
        <f>'Cumulative Odds 30%'!AA13</f>
        <v>4.9000000000000004</v>
      </c>
      <c r="G21" s="2">
        <f>'Cumulative Odds 30%'!AB13</f>
        <v>44.344999999999999</v>
      </c>
      <c r="H21" s="4"/>
    </row>
    <row r="22" spans="3:97">
      <c r="C22" t="s">
        <v>12</v>
      </c>
      <c r="D22" s="2">
        <f>'Individual Odds 10%'!Y13</f>
        <v>14.5</v>
      </c>
      <c r="E22" s="2">
        <f>'Individual Odds 10%'!Z13</f>
        <v>0.6</v>
      </c>
      <c r="F22" s="2">
        <f>'Individual Odds 10%'!AA13</f>
        <v>13.9</v>
      </c>
      <c r="G22" s="2">
        <f>'Individual Odds 10%'!AB13</f>
        <v>15.143131868131865</v>
      </c>
      <c r="H22" s="4"/>
    </row>
    <row r="23" spans="3:97">
      <c r="C23" t="s">
        <v>13</v>
      </c>
      <c r="D23" s="2">
        <f>'Individual Odds 20%'!T13</f>
        <v>10.5</v>
      </c>
      <c r="E23" s="2">
        <f>'Individual Odds 20%'!U13</f>
        <v>2.2999999999999998</v>
      </c>
      <c r="F23" s="2">
        <f>'Individual Odds 20%'!V13</f>
        <v>8.1999999999999993</v>
      </c>
      <c r="G23" s="2">
        <f>'Individual Odds 20%'!W13</f>
        <v>26.147222222222222</v>
      </c>
      <c r="H23" s="4"/>
    </row>
    <row r="24" spans="3:97">
      <c r="C24" t="s">
        <v>14</v>
      </c>
      <c r="D24" s="2">
        <f>'Individual Odds 30%'!T13</f>
        <v>10.4</v>
      </c>
      <c r="E24" s="2">
        <f>'Individual Odds 30%'!U13</f>
        <v>4.0999999999999996</v>
      </c>
      <c r="F24" s="2">
        <f>'Individual Odds 30%'!V13</f>
        <v>6.3</v>
      </c>
      <c r="G24" s="2">
        <f>'Individual Odds 30%'!W13</f>
        <v>35.610476190476192</v>
      </c>
      <c r="H24" s="4"/>
    </row>
    <row r="25" spans="3:97">
      <c r="C25" t="s">
        <v>15</v>
      </c>
      <c r="D25" s="2">
        <f>'Individual Odds 40%'!Y13</f>
        <v>13.1</v>
      </c>
      <c r="E25" s="2">
        <f>'Individual Odds 40%'!Z13</f>
        <v>8.3000000000000007</v>
      </c>
      <c r="F25" s="2">
        <f>'Individual Odds 40%'!AA13</f>
        <v>4.8</v>
      </c>
      <c r="G25" s="2">
        <f>'Individual Odds 40%'!AB13</f>
        <v>47.795000000000002</v>
      </c>
      <c r="H25" s="4"/>
    </row>
    <row r="26" spans="3:97">
      <c r="AG26">
        <v>28.846153846153801</v>
      </c>
    </row>
    <row r="27" spans="3:97">
      <c r="C27" t="s">
        <v>92</v>
      </c>
      <c r="J27" t="s">
        <v>97</v>
      </c>
      <c r="AG27">
        <v>28.846153846153801</v>
      </c>
    </row>
    <row r="28" spans="3:97" ht="15" customHeight="1">
      <c r="C28" s="9" t="s">
        <v>101</v>
      </c>
    </row>
    <row r="29" spans="3:97">
      <c r="C29" s="9"/>
      <c r="K29" t="s">
        <v>100</v>
      </c>
    </row>
    <row r="30" spans="3:97">
      <c r="C30" s="9"/>
      <c r="K30" t="s">
        <v>98</v>
      </c>
      <c r="L30" t="s">
        <v>99</v>
      </c>
      <c r="O30" t="s">
        <v>96</v>
      </c>
    </row>
    <row r="31" spans="3:97">
      <c r="C31" s="9"/>
      <c r="K31">
        <v>-8.79120879120876E-2</v>
      </c>
      <c r="L31">
        <v>1</v>
      </c>
      <c r="O31">
        <v>1</v>
      </c>
    </row>
    <row r="32" spans="3:97">
      <c r="C32" s="9"/>
      <c r="K32">
        <v>-0.22222222222222099</v>
      </c>
      <c r="L32">
        <v>1.88888888888888</v>
      </c>
      <c r="O32">
        <v>2</v>
      </c>
    </row>
    <row r="33" spans="3:15">
      <c r="C33" s="9"/>
      <c r="K33">
        <v>-0.46067415730336903</v>
      </c>
      <c r="L33">
        <v>1.7640449438202199</v>
      </c>
      <c r="O33">
        <v>3</v>
      </c>
    </row>
    <row r="34" spans="3:15">
      <c r="C34" s="9"/>
      <c r="K34">
        <v>0.5</v>
      </c>
      <c r="L34">
        <v>1.13636363636363</v>
      </c>
      <c r="O34">
        <v>4</v>
      </c>
    </row>
    <row r="35" spans="3:15">
      <c r="C35" s="9"/>
      <c r="K35">
        <v>-0.42528735632183801</v>
      </c>
      <c r="L35">
        <v>-1.02790697674418</v>
      </c>
      <c r="O35">
        <v>5</v>
      </c>
    </row>
    <row r="36" spans="3:15">
      <c r="C36" s="9"/>
      <c r="K36">
        <v>-0.32558139534884101</v>
      </c>
      <c r="L36">
        <v>-4.7058823529411598E-2</v>
      </c>
      <c r="O36">
        <v>6</v>
      </c>
    </row>
    <row r="37" spans="3:15">
      <c r="C37" s="9"/>
      <c r="K37">
        <v>0.66666666666666696</v>
      </c>
      <c r="L37">
        <v>-0.78095238095238095</v>
      </c>
      <c r="O37">
        <v>7</v>
      </c>
    </row>
    <row r="38" spans="3:15">
      <c r="C38" s="9"/>
      <c r="K38">
        <v>1.5180722891566201</v>
      </c>
      <c r="L38">
        <v>-1.36385542168674</v>
      </c>
      <c r="O38">
        <v>8</v>
      </c>
    </row>
    <row r="39" spans="3:15">
      <c r="C39" s="9"/>
      <c r="K39">
        <v>1.17073170731707</v>
      </c>
      <c r="L39">
        <v>-1.96097560975609</v>
      </c>
      <c r="O39">
        <v>9</v>
      </c>
    </row>
    <row r="40" spans="3:15">
      <c r="C40" s="9"/>
      <c r="K40">
        <v>2.9012345679012301</v>
      </c>
      <c r="L40">
        <v>-1.05</v>
      </c>
      <c r="O40">
        <v>10</v>
      </c>
    </row>
    <row r="41" spans="3:15">
      <c r="C41" s="9"/>
      <c r="K41">
        <v>1.75</v>
      </c>
      <c r="L41">
        <v>-1.19240506329114</v>
      </c>
      <c r="O41">
        <v>11</v>
      </c>
    </row>
    <row r="42" spans="3:15">
      <c r="C42" s="9"/>
      <c r="K42">
        <v>-0.82051282051281904</v>
      </c>
      <c r="L42">
        <v>-0.31282051282051099</v>
      </c>
      <c r="O42">
        <v>12</v>
      </c>
    </row>
    <row r="43" spans="3:15">
      <c r="C43" s="9"/>
      <c r="K43">
        <v>12.012987012987001</v>
      </c>
      <c r="L43">
        <v>0.53684210526315801</v>
      </c>
      <c r="O43">
        <v>13</v>
      </c>
    </row>
    <row r="44" spans="3:15">
      <c r="C44" s="9"/>
      <c r="K44">
        <v>11.3157894736842</v>
      </c>
      <c r="L44">
        <v>0.8</v>
      </c>
      <c r="O44">
        <v>14</v>
      </c>
    </row>
    <row r="45" spans="3:15">
      <c r="C45" s="9"/>
      <c r="K45">
        <v>12.6666666666666</v>
      </c>
      <c r="L45">
        <v>-0.76756756756756706</v>
      </c>
      <c r="O45">
        <v>15</v>
      </c>
    </row>
    <row r="46" spans="3:15">
      <c r="C46" s="9"/>
      <c r="K46">
        <v>12.270270270270199</v>
      </c>
      <c r="L46">
        <v>-0.96712328767123101</v>
      </c>
      <c r="O46">
        <v>16</v>
      </c>
    </row>
    <row r="47" spans="3:15">
      <c r="C47" s="9"/>
      <c r="K47">
        <v>12.8630136986301</v>
      </c>
      <c r="L47">
        <v>0.63333333333333197</v>
      </c>
      <c r="O47">
        <v>17</v>
      </c>
    </row>
    <row r="48" spans="3:15">
      <c r="C48" s="9"/>
      <c r="K48">
        <v>2.77464788732394</v>
      </c>
      <c r="L48">
        <v>-2.8169014084511398E-3</v>
      </c>
      <c r="O48">
        <v>18</v>
      </c>
    </row>
    <row r="49" spans="3:15">
      <c r="C49" s="9"/>
      <c r="K49">
        <v>3.5714285714285698</v>
      </c>
      <c r="L49">
        <v>-3.0927536231884001</v>
      </c>
      <c r="O49">
        <v>19</v>
      </c>
    </row>
    <row r="50" spans="3:15">
      <c r="C50" s="9"/>
      <c r="K50">
        <v>3.3623188405797002</v>
      </c>
      <c r="L50">
        <v>-4.1882352941176402</v>
      </c>
      <c r="O50">
        <v>20</v>
      </c>
    </row>
    <row r="51" spans="3:15">
      <c r="C51" s="9"/>
      <c r="K51">
        <v>2.70588235294117</v>
      </c>
      <c r="L51">
        <v>-5.1515151515151496</v>
      </c>
      <c r="O51">
        <v>21</v>
      </c>
    </row>
    <row r="52" spans="3:15">
      <c r="C52" s="9"/>
      <c r="K52">
        <v>2.2089552238805998</v>
      </c>
      <c r="L52">
        <v>-3.4615384615384599</v>
      </c>
      <c r="O52">
        <v>22</v>
      </c>
    </row>
    <row r="53" spans="3:15">
      <c r="C53" s="9"/>
      <c r="K53">
        <v>0.51515151515151503</v>
      </c>
      <c r="L53">
        <v>-4</v>
      </c>
      <c r="O53">
        <v>23</v>
      </c>
    </row>
    <row r="54" spans="3:15">
      <c r="C54" s="9"/>
      <c r="K54">
        <v>5.48484848484848</v>
      </c>
      <c r="L54">
        <v>-2.9206349206349098</v>
      </c>
      <c r="O54">
        <v>24</v>
      </c>
    </row>
    <row r="55" spans="3:15">
      <c r="C55" s="9"/>
      <c r="K55">
        <v>6.2307692307692299</v>
      </c>
      <c r="L55">
        <v>-0.318032786885246</v>
      </c>
      <c r="O55">
        <v>25</v>
      </c>
    </row>
    <row r="56" spans="3:15">
      <c r="C56" s="9"/>
      <c r="K56">
        <v>5.5625</v>
      </c>
      <c r="L56">
        <v>1.2666666666666599</v>
      </c>
      <c r="O56">
        <v>26</v>
      </c>
    </row>
    <row r="57" spans="3:15">
      <c r="C57" s="9"/>
      <c r="K57">
        <v>5.4920634920634903</v>
      </c>
      <c r="L57">
        <v>-1.2135593220338901</v>
      </c>
      <c r="O57">
        <v>27</v>
      </c>
    </row>
    <row r="58" spans="3:15">
      <c r="C58" s="9"/>
      <c r="K58">
        <v>1.38709677419355</v>
      </c>
      <c r="L58">
        <v>-3.50344827586206</v>
      </c>
      <c r="O58">
        <v>28</v>
      </c>
    </row>
    <row r="59" spans="3:15">
      <c r="C59" s="9"/>
      <c r="K59">
        <v>-0.66666666666666596</v>
      </c>
      <c r="L59">
        <v>-4.0857142857142801</v>
      </c>
      <c r="O59">
        <v>29</v>
      </c>
    </row>
    <row r="60" spans="3:15">
      <c r="K60">
        <v>2.7457627118643999</v>
      </c>
      <c r="L60">
        <v>-1.4592592592592499</v>
      </c>
      <c r="O60">
        <v>30</v>
      </c>
    </row>
    <row r="61" spans="3:15">
      <c r="C61" t="s">
        <v>102</v>
      </c>
      <c r="K61">
        <v>2.41379310344827</v>
      </c>
      <c r="L61">
        <v>-4.9547169811320702</v>
      </c>
      <c r="O61">
        <v>31</v>
      </c>
    </row>
    <row r="62" spans="3:15">
      <c r="D62" t="s">
        <v>10</v>
      </c>
      <c r="E62" t="s">
        <v>79</v>
      </c>
      <c r="F62" t="s">
        <v>78</v>
      </c>
      <c r="G62" t="s">
        <v>77</v>
      </c>
      <c r="H62" t="s">
        <v>53</v>
      </c>
      <c r="K62">
        <v>0.42857142857142799</v>
      </c>
      <c r="L62">
        <v>-2.19999999999999</v>
      </c>
      <c r="O62">
        <v>32</v>
      </c>
    </row>
    <row r="63" spans="3:15">
      <c r="C63" t="s">
        <v>106</v>
      </c>
      <c r="D63">
        <f>'[1]Individual Odds 18%'!AD103</f>
        <v>11.12</v>
      </c>
      <c r="E63">
        <f>'[1]Individual Odds 18%'!AE103</f>
        <v>2.27</v>
      </c>
      <c r="F63">
        <f>'[1]Individual Odds 18%'!AF103</f>
        <v>8.85</v>
      </c>
      <c r="G63">
        <f>'[1]Individual Odds 18%'!AG103</f>
        <v>24.296027417027421</v>
      </c>
      <c r="H63" s="4"/>
      <c r="I63" s="10" t="s">
        <v>207</v>
      </c>
      <c r="K63">
        <v>0.90909090909090795</v>
      </c>
      <c r="L63">
        <v>-2.5999999999999899</v>
      </c>
      <c r="O63">
        <v>33</v>
      </c>
    </row>
    <row r="64" spans="3:15">
      <c r="C64" t="s">
        <v>43</v>
      </c>
      <c r="D64" s="2">
        <f>'Bank Score 20+'!AD116</f>
        <v>10.75</v>
      </c>
      <c r="E64" s="2">
        <f>'Bank Score 20+'!AE116</f>
        <v>2.0699999999999998</v>
      </c>
      <c r="F64" s="2">
        <f>'Bank Score 20+'!AF116</f>
        <v>8.68</v>
      </c>
      <c r="G64" s="2">
        <f>'Bank Score 20+'!AG116</f>
        <v>24.679059523809524</v>
      </c>
      <c r="H64" s="4"/>
      <c r="I64" s="10"/>
      <c r="K64">
        <v>1.4814814814814801</v>
      </c>
      <c r="L64">
        <v>-4.25</v>
      </c>
      <c r="O64">
        <v>34</v>
      </c>
    </row>
    <row r="65" spans="3:15" ht="15" customHeight="1">
      <c r="C65" t="s">
        <v>209</v>
      </c>
      <c r="D65">
        <f>'[1]Bank Score 21+'!AD103</f>
        <v>10.46</v>
      </c>
      <c r="E65">
        <f>'[1]Bank Score 21+'!AE103</f>
        <v>2.14</v>
      </c>
      <c r="F65">
        <f>'[1]Bank Score 21+'!AF103</f>
        <v>8.32</v>
      </c>
      <c r="G65">
        <f>'[1]Bank Score 21+'!AG103</f>
        <v>25.835992063492068</v>
      </c>
      <c r="H65" s="4"/>
      <c r="I65" s="10"/>
      <c r="K65">
        <v>6.2452830188679203</v>
      </c>
      <c r="L65">
        <v>0.489361702127659</v>
      </c>
      <c r="O65">
        <v>35</v>
      </c>
    </row>
    <row r="66" spans="3:15" ht="15" customHeight="1">
      <c r="C66" t="s">
        <v>13</v>
      </c>
      <c r="D66">
        <f>'Individual Odds 20%'!AD116</f>
        <v>10.68</v>
      </c>
      <c r="E66">
        <f>'Individual Odds 20%'!AE116</f>
        <v>2.54</v>
      </c>
      <c r="F66">
        <f>'Individual Odds 20%'!AF116</f>
        <v>8.14</v>
      </c>
      <c r="G66">
        <f>'Individual Odds 20%'!AG116</f>
        <v>26.310999999999993</v>
      </c>
      <c r="H66" s="4"/>
      <c r="I66" s="10"/>
      <c r="K66">
        <v>6.1538461538461497</v>
      </c>
      <c r="L66">
        <v>-3.7391304347826</v>
      </c>
      <c r="O66">
        <v>36</v>
      </c>
    </row>
    <row r="67" spans="3:15" ht="15" customHeight="1">
      <c r="C67" t="s">
        <v>208</v>
      </c>
      <c r="D67">
        <f>'[1]Bank Score 22+'!AD103</f>
        <v>10.3</v>
      </c>
      <c r="E67">
        <f>'[1]Bank Score 22+'!AE103</f>
        <v>2.2599999999999998</v>
      </c>
      <c r="F67">
        <f>'[1]Bank Score 22+'!AF103</f>
        <v>8.0399999999999991</v>
      </c>
      <c r="G67">
        <f>'[1]Bank Score 22+'!AG103</f>
        <v>26.516269841269835</v>
      </c>
      <c r="H67" s="4"/>
      <c r="I67" s="10"/>
      <c r="K67">
        <v>-1</v>
      </c>
      <c r="L67">
        <v>-5.55555555555555</v>
      </c>
      <c r="O67">
        <v>37</v>
      </c>
    </row>
    <row r="68" spans="3:15">
      <c r="C68" t="s">
        <v>114</v>
      </c>
      <c r="D68">
        <f>'[1]Bank Score 23+'!AD103</f>
        <v>9.81</v>
      </c>
      <c r="E68">
        <f>'[1]Bank Score 23+'!AE103</f>
        <v>2.11</v>
      </c>
      <c r="F68">
        <f>'[1]Bank Score 23+'!AF103</f>
        <v>7.7</v>
      </c>
      <c r="G68">
        <f>'[1]Bank Score 23+'!AG103</f>
        <v>27.740297619047613</v>
      </c>
      <c r="H68" s="4"/>
      <c r="I68" s="10"/>
      <c r="K68">
        <v>0.63265306122448794</v>
      </c>
      <c r="L68">
        <v>-4.4545454545454497</v>
      </c>
      <c r="O68">
        <v>38</v>
      </c>
    </row>
    <row r="69" spans="3:15">
      <c r="C69" t="s">
        <v>107</v>
      </c>
      <c r="D69">
        <f>'[1]Individual Odds 22%'!AD103</f>
        <v>10.52</v>
      </c>
      <c r="E69">
        <f>'[1]Individual Odds 22%'!AE103</f>
        <v>2.82</v>
      </c>
      <c r="F69">
        <f>'[1]Individual Odds 22%'!AF103</f>
        <v>7.7</v>
      </c>
      <c r="G69">
        <f>'[1]Individual Odds 22%'!AG103</f>
        <v>28.177678571428572</v>
      </c>
      <c r="H69" s="4"/>
      <c r="I69" s="10"/>
      <c r="K69">
        <v>-18.75</v>
      </c>
      <c r="L69">
        <v>-5.9238095238095196</v>
      </c>
      <c r="O69">
        <v>39</v>
      </c>
    </row>
    <row r="70" spans="3:15">
      <c r="C70" t="s">
        <v>112</v>
      </c>
      <c r="D70">
        <f>'[1]Bank Score 24+'!AD103</f>
        <v>10.42</v>
      </c>
      <c r="E70">
        <f>'[1]Bank Score 24+'!AE103</f>
        <v>2.95</v>
      </c>
      <c r="F70">
        <f>'[1]Bank Score 24+'!AF103</f>
        <v>7.47</v>
      </c>
      <c r="G70">
        <f>'[1]Bank Score 24+'!AG103</f>
        <v>28.778928571428573</v>
      </c>
      <c r="H70" s="4"/>
      <c r="I70" s="6"/>
      <c r="K70">
        <v>-21.276595744680801</v>
      </c>
      <c r="L70">
        <v>-9.3512195121951205</v>
      </c>
      <c r="O70">
        <v>40</v>
      </c>
    </row>
    <row r="71" spans="3:15">
      <c r="C71" t="s">
        <v>108</v>
      </c>
      <c r="D71">
        <f>'[1]Individual Odds 24%'!AD103</f>
        <v>10.94</v>
      </c>
      <c r="E71">
        <f>'[1]Individual Odds 24%'!AE103</f>
        <v>3.72</v>
      </c>
      <c r="F71">
        <f>'[1]Individual Odds 24%'!AF103</f>
        <v>7.22</v>
      </c>
      <c r="G71">
        <f>'[1]Individual Odds 24%'!AG103</f>
        <v>30.149138888888888</v>
      </c>
      <c r="H71" s="4"/>
      <c r="I71" s="6"/>
      <c r="K71">
        <v>-30.434782608695599</v>
      </c>
      <c r="L71">
        <v>-6.8999999999999897</v>
      </c>
      <c r="O71">
        <v>41</v>
      </c>
    </row>
    <row r="72" spans="3:15">
      <c r="C72" t="s">
        <v>44</v>
      </c>
      <c r="D72">
        <f>'Bank Score 25+'!AD116</f>
        <v>10.46</v>
      </c>
      <c r="E72">
        <f>'Bank Score 25+'!AE116</f>
        <v>3.32</v>
      </c>
      <c r="F72">
        <f>'Bank Score 25+'!AF116</f>
        <v>7.14</v>
      </c>
      <c r="G72">
        <f>'Bank Score 25+'!AG116</f>
        <v>29.96363095238096</v>
      </c>
      <c r="H72" s="4"/>
      <c r="K72">
        <v>-33.3333333333333</v>
      </c>
      <c r="L72">
        <v>-8.5538461538461501</v>
      </c>
      <c r="O72">
        <v>42</v>
      </c>
    </row>
    <row r="73" spans="3:15">
      <c r="C73" t="s">
        <v>113</v>
      </c>
      <c r="D73">
        <f>'[1]Bank Score 26+'!AD103</f>
        <v>10.44</v>
      </c>
      <c r="E73">
        <f>'[1]Bank Score 26+'!AE103</f>
        <v>3.49</v>
      </c>
      <c r="F73">
        <f>'[1]Bank Score 26+'!AF103</f>
        <v>6.95</v>
      </c>
      <c r="G73">
        <f>'[1]Bank Score 26+'!AG103</f>
        <v>30.939047619047614</v>
      </c>
      <c r="H73" s="4"/>
      <c r="K73">
        <v>7</v>
      </c>
      <c r="L73">
        <v>-11.0315789473684</v>
      </c>
      <c r="O73">
        <v>43</v>
      </c>
    </row>
    <row r="74" spans="3:15">
      <c r="C74" t="s">
        <v>103</v>
      </c>
      <c r="D74">
        <f>'[1]Bank Score 27+'!AD104</f>
        <v>10.35</v>
      </c>
      <c r="E74">
        <f>'[1]Bank Score 27+'!AE104</f>
        <v>3.57</v>
      </c>
      <c r="F74">
        <f>'[1]Bank Score 27+'!AF104</f>
        <v>6.78</v>
      </c>
      <c r="G74">
        <f>'[1]Bank Score 27+'!AG104</f>
        <v>32.142559523809524</v>
      </c>
      <c r="H74" s="4"/>
      <c r="K74">
        <v>5.71428571428571</v>
      </c>
      <c r="L74">
        <v>-6.8594594594594502</v>
      </c>
      <c r="O74">
        <v>44</v>
      </c>
    </row>
    <row r="75" spans="3:15">
      <c r="C75" t="s">
        <v>109</v>
      </c>
      <c r="D75">
        <f>'[1]Individual Odds 26%'!AD103</f>
        <v>10.55</v>
      </c>
      <c r="E75">
        <f>'[1]Individual Odds 26%'!AE103</f>
        <v>3.77</v>
      </c>
      <c r="F75">
        <f>'[1]Individual Odds 26%'!AF103</f>
        <v>6.78</v>
      </c>
      <c r="G75">
        <f>'[1]Individual Odds 26%'!AG103</f>
        <v>32.079047619047621</v>
      </c>
      <c r="H75" s="4"/>
      <c r="K75">
        <v>4.1707317073170698</v>
      </c>
      <c r="L75">
        <v>-6.2285714285714198</v>
      </c>
      <c r="O75">
        <v>45</v>
      </c>
    </row>
    <row r="76" spans="3:15">
      <c r="C76" t="s">
        <v>104</v>
      </c>
      <c r="D76">
        <f>'[1]Bank Score 28+'!AD104</f>
        <v>10.67</v>
      </c>
      <c r="E76">
        <f>'[1]Bank Score 28+'!AE104</f>
        <v>3.95</v>
      </c>
      <c r="F76">
        <f>'[1]Bank Score 28+'!AF104</f>
        <v>6.72</v>
      </c>
      <c r="G76">
        <f>'[1]Bank Score 28+'!AG104</f>
        <v>32.876904761904761</v>
      </c>
      <c r="H76" s="4"/>
      <c r="K76">
        <v>2.7435897435897401</v>
      </c>
      <c r="L76">
        <v>-0.65714285714285703</v>
      </c>
      <c r="O76">
        <v>46</v>
      </c>
    </row>
    <row r="77" spans="3:15">
      <c r="C77" t="s">
        <v>105</v>
      </c>
      <c r="D77">
        <f>'[1]Bank Score 29+'!AD103</f>
        <v>11.19</v>
      </c>
      <c r="E77">
        <f>'[1]Bank Score 29+'!AE103</f>
        <v>4.7300000000000004</v>
      </c>
      <c r="F77">
        <f>'[1]Bank Score 29+'!AF103</f>
        <v>6.46</v>
      </c>
      <c r="G77">
        <f>'[1]Bank Score 29+'!AG103</f>
        <v>33.759904761904764</v>
      </c>
      <c r="H77" s="4"/>
      <c r="K77">
        <v>1.31578947368421</v>
      </c>
      <c r="L77">
        <v>3.4352941176470502</v>
      </c>
      <c r="O77">
        <v>47</v>
      </c>
    </row>
    <row r="78" spans="3:15">
      <c r="C78" t="s">
        <v>110</v>
      </c>
      <c r="D78">
        <f>'[1]Individual Odds 28%'!AD103</f>
        <v>10.76</v>
      </c>
      <c r="E78">
        <f>'[1]Individual Odds 28%'!AE103</f>
        <v>4.38</v>
      </c>
      <c r="F78">
        <f>'[1]Individual Odds 28%'!AF103</f>
        <v>6.38</v>
      </c>
      <c r="G78">
        <f>'[1]Individual Odds 28%'!AG103</f>
        <v>34.557734126984116</v>
      </c>
      <c r="H78" s="4"/>
      <c r="K78">
        <v>0.86486486486486303</v>
      </c>
      <c r="L78">
        <v>11.048484848484801</v>
      </c>
      <c r="O78">
        <v>48</v>
      </c>
    </row>
    <row r="79" spans="3:15">
      <c r="C79" t="s">
        <v>45</v>
      </c>
      <c r="D79">
        <f>'Bank Score 30+'!AD116</f>
        <v>10.3</v>
      </c>
      <c r="E79">
        <f>'Bank Score 30+'!AE116</f>
        <v>4.07</v>
      </c>
      <c r="F79">
        <f>'Bank Score 30+'!AF116</f>
        <v>6.23</v>
      </c>
      <c r="G79">
        <f>'Bank Score 30+'!AG116</f>
        <v>34.487333333333332</v>
      </c>
      <c r="H79" s="4"/>
      <c r="K79">
        <v>2.3333333333333202</v>
      </c>
      <c r="L79">
        <v>9.1999999999999993</v>
      </c>
      <c r="O79">
        <v>49</v>
      </c>
    </row>
    <row r="80" spans="3:15">
      <c r="C80" t="s">
        <v>14</v>
      </c>
      <c r="D80">
        <f>'Individual Odds 30%'!AD116</f>
        <v>11.02</v>
      </c>
      <c r="E80">
        <f>'Individual Odds 30%'!AE116</f>
        <v>4.9400000000000004</v>
      </c>
      <c r="F80">
        <f>'Individual Odds 30%'!AF116</f>
        <v>6.08</v>
      </c>
      <c r="G80">
        <f>'Individual Odds 30%'!AG116</f>
        <v>36.181940476190469</v>
      </c>
      <c r="H80" s="4"/>
      <c r="K80">
        <v>7.1428571428571397</v>
      </c>
      <c r="L80">
        <v>10.1677419354838</v>
      </c>
      <c r="O80">
        <v>50</v>
      </c>
    </row>
    <row r="81" spans="3:15">
      <c r="C81" t="s">
        <v>111</v>
      </c>
      <c r="D81">
        <f>'[1]Individual Odds 32%'!AD103</f>
        <v>11.21</v>
      </c>
      <c r="E81">
        <f>'[1]Individual Odds 32%'!AE103</f>
        <v>5.38</v>
      </c>
      <c r="F81">
        <f>'[1]Individual Odds 32%'!AF103</f>
        <v>5.83</v>
      </c>
      <c r="G81">
        <f>'[1]Individual Odds 32%'!AG103</f>
        <v>38.144023809523816</v>
      </c>
      <c r="H81" s="4"/>
      <c r="K81">
        <v>3</v>
      </c>
      <c r="L81">
        <v>9.1999999999999993</v>
      </c>
      <c r="O81">
        <v>51</v>
      </c>
    </row>
    <row r="82" spans="3:15">
      <c r="C82" t="s">
        <v>211</v>
      </c>
      <c r="K82">
        <v>-1.375</v>
      </c>
      <c r="L82">
        <v>0.65714285714285703</v>
      </c>
      <c r="O82">
        <v>52</v>
      </c>
    </row>
    <row r="83" spans="3:15">
      <c r="C83" t="s">
        <v>212</v>
      </c>
      <c r="K83" t="s">
        <v>93</v>
      </c>
      <c r="L83">
        <v>-0.31111111111111001</v>
      </c>
      <c r="O83">
        <v>53</v>
      </c>
    </row>
    <row r="84" spans="3:15" ht="15" customHeight="1">
      <c r="C84" t="s">
        <v>213</v>
      </c>
      <c r="K84">
        <v>1</v>
      </c>
      <c r="L84">
        <v>6.2615384615384597</v>
      </c>
      <c r="O84">
        <v>54</v>
      </c>
    </row>
    <row r="85" spans="3:15">
      <c r="C85" t="s">
        <v>214</v>
      </c>
      <c r="K85">
        <v>2.6206896551724101</v>
      </c>
      <c r="L85">
        <v>5.8</v>
      </c>
      <c r="O85">
        <v>55</v>
      </c>
    </row>
    <row r="86" spans="3:15">
      <c r="C86" t="s">
        <v>215</v>
      </c>
      <c r="K86">
        <v>-1.1111111111111101</v>
      </c>
      <c r="L86">
        <v>-2.7</v>
      </c>
      <c r="O86">
        <v>56</v>
      </c>
    </row>
    <row r="87" spans="3:15" ht="15" customHeight="1">
      <c r="C87" t="s">
        <v>216</v>
      </c>
      <c r="K87">
        <v>-4.2307692307692299</v>
      </c>
      <c r="L87">
        <v>-8.6909090909090896</v>
      </c>
      <c r="O87">
        <v>57</v>
      </c>
    </row>
    <row r="88" spans="3:15">
      <c r="C88" t="s">
        <v>217</v>
      </c>
      <c r="K88" s="5">
        <v>-3.5527136788005001E-15</v>
      </c>
      <c r="L88">
        <v>-11.409523809523799</v>
      </c>
      <c r="O88">
        <v>58</v>
      </c>
    </row>
    <row r="89" spans="3:15">
      <c r="C89" t="s">
        <v>218</v>
      </c>
      <c r="K89">
        <v>0.83333333333333204</v>
      </c>
      <c r="L89">
        <v>-12.789473684210501</v>
      </c>
      <c r="O89">
        <v>59</v>
      </c>
    </row>
    <row r="90" spans="3:15">
      <c r="K90">
        <v>-0.78260869565217195</v>
      </c>
      <c r="L90">
        <v>0.71764705882352897</v>
      </c>
      <c r="O90">
        <v>60</v>
      </c>
    </row>
    <row r="91" spans="3:15">
      <c r="C91" t="s">
        <v>205</v>
      </c>
      <c r="K91">
        <v>0.238095238095238</v>
      </c>
      <c r="L91">
        <v>-3.8</v>
      </c>
      <c r="O91">
        <v>61</v>
      </c>
    </row>
    <row r="92" spans="3:15" ht="15" customHeight="1">
      <c r="C92" s="8" t="s">
        <v>206</v>
      </c>
      <c r="K92">
        <v>3</v>
      </c>
      <c r="L92">
        <v>4.1999999999999904</v>
      </c>
      <c r="O92">
        <v>62</v>
      </c>
    </row>
    <row r="93" spans="3:15">
      <c r="C93" s="8"/>
      <c r="K93">
        <v>-20.105263157894701</v>
      </c>
      <c r="L93">
        <v>0.507692307692306</v>
      </c>
      <c r="O93">
        <v>63</v>
      </c>
    </row>
    <row r="94" spans="3:15">
      <c r="C94" s="8"/>
      <c r="K94">
        <v>-14.529411764705801</v>
      </c>
      <c r="L94">
        <v>5.86666666666666</v>
      </c>
      <c r="O94">
        <v>64</v>
      </c>
    </row>
    <row r="95" spans="3:15">
      <c r="C95" s="8"/>
      <c r="K95">
        <v>-4.3333333333333304</v>
      </c>
      <c r="L95">
        <v>5.0181818181818096</v>
      </c>
      <c r="O95">
        <v>65</v>
      </c>
    </row>
    <row r="96" spans="3:15">
      <c r="C96" s="8"/>
      <c r="K96">
        <v>0.57142857142857295</v>
      </c>
      <c r="L96">
        <v>-4.7999999999999901</v>
      </c>
      <c r="O96">
        <v>66</v>
      </c>
    </row>
    <row r="97" spans="3:15">
      <c r="C97" s="8"/>
      <c r="K97">
        <v>2.9230769230769198</v>
      </c>
      <c r="L97">
        <v>-2.2000000000000002</v>
      </c>
      <c r="O97">
        <v>67</v>
      </c>
    </row>
    <row r="98" spans="3:15">
      <c r="C98" s="8"/>
      <c r="K98">
        <v>-3.6666666666666701</v>
      </c>
      <c r="L98">
        <v>-4.4857142857142804</v>
      </c>
      <c r="O98">
        <v>68</v>
      </c>
    </row>
    <row r="99" spans="3:15">
      <c r="C99" s="8"/>
      <c r="K99">
        <v>0</v>
      </c>
      <c r="L99">
        <v>-13.533333333333299</v>
      </c>
      <c r="O99">
        <v>69</v>
      </c>
    </row>
    <row r="100" spans="3:15">
      <c r="C100" s="8"/>
      <c r="K100">
        <v>-0.22222222222222099</v>
      </c>
      <c r="L100">
        <v>-3.6</v>
      </c>
      <c r="O100">
        <v>70</v>
      </c>
    </row>
    <row r="101" spans="3:15">
      <c r="C101" s="8"/>
      <c r="L101">
        <v>6.3999999999999897</v>
      </c>
      <c r="O101">
        <v>71</v>
      </c>
    </row>
    <row r="102" spans="3:15">
      <c r="C102" s="8"/>
      <c r="L102">
        <v>7.3999999999999897</v>
      </c>
      <c r="O102">
        <v>72</v>
      </c>
    </row>
    <row r="103" spans="3:15">
      <c r="C103" s="8"/>
      <c r="L103">
        <v>16.399999999999999</v>
      </c>
      <c r="O103">
        <v>73</v>
      </c>
    </row>
    <row r="104" spans="3:15">
      <c r="C104" s="8"/>
      <c r="L104">
        <v>-9.9626373626373592</v>
      </c>
      <c r="O104">
        <v>74</v>
      </c>
    </row>
    <row r="105" spans="3:15">
      <c r="C105" s="8"/>
      <c r="L105">
        <v>-7.1123595505617896</v>
      </c>
      <c r="O105">
        <v>75</v>
      </c>
    </row>
    <row r="106" spans="3:15">
      <c r="C106" s="8"/>
      <c r="L106">
        <v>-6.7272727272727204</v>
      </c>
      <c r="O106">
        <v>76</v>
      </c>
    </row>
    <row r="107" spans="3:15">
      <c r="C107" s="8"/>
      <c r="L107">
        <v>-7.0344827586206904</v>
      </c>
      <c r="O107">
        <v>77</v>
      </c>
    </row>
    <row r="108" spans="3:15">
      <c r="C108" s="8"/>
      <c r="L108">
        <v>-6.53488372093023</v>
      </c>
      <c r="O108">
        <v>78</v>
      </c>
    </row>
    <row r="109" spans="3:15">
      <c r="C109" s="8"/>
      <c r="L109">
        <v>-6.3523809523809502</v>
      </c>
      <c r="O109">
        <v>79</v>
      </c>
    </row>
    <row r="110" spans="3:15">
      <c r="C110" s="8"/>
      <c r="L110">
        <v>5.9523809523809499</v>
      </c>
      <c r="O110">
        <v>80</v>
      </c>
    </row>
    <row r="111" spans="3:15">
      <c r="C111" s="7"/>
    </row>
    <row r="112" spans="3:15">
      <c r="C112" s="7" t="s">
        <v>210</v>
      </c>
    </row>
    <row r="113" spans="3:3" ht="15" customHeight="1">
      <c r="C113" s="8" t="s">
        <v>219</v>
      </c>
    </row>
    <row r="114" spans="3:3">
      <c r="C114" s="8"/>
    </row>
    <row r="115" spans="3:3">
      <c r="C115" s="8"/>
    </row>
    <row r="116" spans="3:3">
      <c r="C116" s="8"/>
    </row>
    <row r="117" spans="3:3">
      <c r="C117" s="8"/>
    </row>
    <row r="118" spans="3:3">
      <c r="C118" s="8"/>
    </row>
    <row r="119" spans="3:3">
      <c r="C119" s="8"/>
    </row>
    <row r="120" spans="3:3">
      <c r="C120" s="8"/>
    </row>
    <row r="121" spans="3:3">
      <c r="C121" s="8"/>
    </row>
    <row r="122" spans="3:3">
      <c r="C122" s="8"/>
    </row>
    <row r="123" spans="3:3">
      <c r="C123" s="8"/>
    </row>
    <row r="124" spans="3:3">
      <c r="C124" s="8"/>
    </row>
    <row r="125" spans="3:3">
      <c r="C125" s="8"/>
    </row>
    <row r="126" spans="3:3">
      <c r="C126" s="8"/>
    </row>
    <row r="127" spans="3:3">
      <c r="C127" s="8"/>
    </row>
    <row r="128" spans="3:3">
      <c r="C128" s="8"/>
    </row>
    <row r="129" spans="3:3">
      <c r="C129" s="8"/>
    </row>
    <row r="130" spans="3:3">
      <c r="C130" s="8"/>
    </row>
    <row r="131" spans="3:3">
      <c r="C131" s="8"/>
    </row>
    <row r="132" spans="3:3">
      <c r="C132" s="8"/>
    </row>
    <row r="133" spans="3:3">
      <c r="C133" s="8"/>
    </row>
    <row r="134" spans="3:3">
      <c r="C134" s="8"/>
    </row>
    <row r="135" spans="3:3">
      <c r="C135" s="8"/>
    </row>
    <row r="136" spans="3:3">
      <c r="C136" s="8"/>
    </row>
    <row r="137" spans="3:3">
      <c r="C137" s="8"/>
    </row>
    <row r="138" spans="3:3">
      <c r="C138" s="8"/>
    </row>
    <row r="139" spans="3:3">
      <c r="C139" s="8"/>
    </row>
    <row r="140" spans="3:3">
      <c r="C140" s="8"/>
    </row>
    <row r="141" spans="3:3">
      <c r="C141" s="8"/>
    </row>
    <row r="142" spans="3:3">
      <c r="C142" s="8"/>
    </row>
    <row r="143" spans="3:3">
      <c r="C143" s="8"/>
    </row>
    <row r="144" spans="3:3">
      <c r="C144" s="8"/>
    </row>
    <row r="145" spans="3:3">
      <c r="C145" s="8"/>
    </row>
    <row r="146" spans="3:3">
      <c r="C146" s="8"/>
    </row>
    <row r="147" spans="3:3">
      <c r="C147" s="8"/>
    </row>
    <row r="148" spans="3:3">
      <c r="C148" s="8"/>
    </row>
    <row r="149" spans="3:3">
      <c r="C149" s="8"/>
    </row>
    <row r="150" spans="3:3">
      <c r="C150" s="8"/>
    </row>
    <row r="151" spans="3:3">
      <c r="C151" s="8"/>
    </row>
    <row r="152" spans="3:3">
      <c r="C152" s="8"/>
    </row>
    <row r="153" spans="3:3">
      <c r="C153" s="8"/>
    </row>
    <row r="154" spans="3:3">
      <c r="C154" s="8"/>
    </row>
    <row r="155" spans="3:3">
      <c r="C155" s="8"/>
    </row>
    <row r="156" spans="3:3">
      <c r="C156" s="8"/>
    </row>
    <row r="157" spans="3:3">
      <c r="C157" s="8"/>
    </row>
    <row r="158" spans="3:3">
      <c r="C158" s="8"/>
    </row>
    <row r="159" spans="3:3">
      <c r="C159" s="8"/>
    </row>
    <row r="160" spans="3:3">
      <c r="C160" s="8"/>
    </row>
    <row r="161" spans="3:10">
      <c r="C161" s="8"/>
    </row>
    <row r="162" spans="3:10">
      <c r="C162" s="8"/>
    </row>
    <row r="163" spans="3:10">
      <c r="C163" s="8"/>
    </row>
    <row r="164" spans="3:10">
      <c r="C164" s="8"/>
    </row>
    <row r="165" spans="3:10">
      <c r="C165" s="8"/>
    </row>
    <row r="166" spans="3:10">
      <c r="C166" s="8"/>
    </row>
    <row r="167" spans="3:10">
      <c r="C167" s="8"/>
    </row>
    <row r="168" spans="3:10">
      <c r="C168" s="8"/>
    </row>
    <row r="169" spans="3:10">
      <c r="C169" s="8"/>
    </row>
    <row r="170" spans="3:10">
      <c r="C170" s="8"/>
    </row>
    <row r="171" spans="3:10">
      <c r="C171" s="7"/>
    </row>
    <row r="172" spans="3:10">
      <c r="C172" t="s">
        <v>220</v>
      </c>
    </row>
    <row r="173" spans="3:10">
      <c r="D173" t="s">
        <v>228</v>
      </c>
      <c r="E173" t="s">
        <v>10</v>
      </c>
      <c r="F173" t="s">
        <v>79</v>
      </c>
      <c r="G173" t="s">
        <v>78</v>
      </c>
      <c r="H173" t="s">
        <v>229</v>
      </c>
      <c r="I173" t="s">
        <v>249</v>
      </c>
    </row>
    <row r="174" spans="3:10" ht="15" customHeight="1">
      <c r="C174" s="7" t="s">
        <v>221</v>
      </c>
      <c r="D174">
        <v>204.928854</v>
      </c>
      <c r="E174">
        <v>10.695829</v>
      </c>
      <c r="F174">
        <v>2.0003600000000001</v>
      </c>
      <c r="G174">
        <v>8.6954689999999992</v>
      </c>
      <c r="H174">
        <v>23.6955327936281</v>
      </c>
      <c r="I174">
        <f>G174/F174</f>
        <v>4.3469520486312456</v>
      </c>
      <c r="J174" s="9" t="s">
        <v>230</v>
      </c>
    </row>
    <row r="175" spans="3:10">
      <c r="C175" s="7" t="s">
        <v>222</v>
      </c>
      <c r="D175">
        <v>204.92634200000001</v>
      </c>
      <c r="E175">
        <v>10.532031</v>
      </c>
      <c r="F175">
        <v>2.166674</v>
      </c>
      <c r="G175">
        <v>8.3653569999999995</v>
      </c>
      <c r="H175">
        <v>24.641126278171399</v>
      </c>
      <c r="I175">
        <f t="shared" ref="I175:I188" si="0">G175/F175</f>
        <v>3.8609209322676135</v>
      </c>
      <c r="J175" s="9"/>
    </row>
    <row r="176" spans="3:10">
      <c r="C176" s="7" t="s">
        <v>223</v>
      </c>
      <c r="D176">
        <v>204.90937299999999</v>
      </c>
      <c r="E176">
        <v>10.372769999999999</v>
      </c>
      <c r="F176">
        <v>2.3642599999999998</v>
      </c>
      <c r="G176">
        <v>8.0085099999999994</v>
      </c>
      <c r="H176">
        <v>25.710231051580699</v>
      </c>
      <c r="I176">
        <f t="shared" si="0"/>
        <v>3.3873220373393789</v>
      </c>
      <c r="J176" s="9"/>
    </row>
    <row r="177" spans="3:10">
      <c r="C177" s="7" t="s">
        <v>224</v>
      </c>
      <c r="D177">
        <v>204.90204800000001</v>
      </c>
      <c r="E177">
        <v>10.306252000000001</v>
      </c>
      <c r="F177">
        <v>2.5378090000000002</v>
      </c>
      <c r="G177">
        <v>7.7684430000000004</v>
      </c>
      <c r="H177">
        <v>26.514071702364198</v>
      </c>
      <c r="I177">
        <f t="shared" si="0"/>
        <v>3.0610826110239184</v>
      </c>
      <c r="J177" s="9"/>
    </row>
    <row r="178" spans="3:10">
      <c r="C178" s="7" t="s">
        <v>225</v>
      </c>
      <c r="D178">
        <v>204.90852699999999</v>
      </c>
      <c r="E178">
        <v>10.226029</v>
      </c>
      <c r="F178">
        <v>2.7698559999999999</v>
      </c>
      <c r="G178">
        <v>7.4561729999999997</v>
      </c>
      <c r="H178">
        <v>27.661426526549299</v>
      </c>
      <c r="I178">
        <f t="shared" si="0"/>
        <v>2.6918991456595576</v>
      </c>
      <c r="J178" s="9"/>
    </row>
    <row r="179" spans="3:10">
      <c r="C179" s="7" t="s">
        <v>226</v>
      </c>
      <c r="D179">
        <v>204.87778700000001</v>
      </c>
      <c r="E179">
        <v>10.118207999999999</v>
      </c>
      <c r="F179">
        <v>2.9605100000000002</v>
      </c>
      <c r="G179">
        <v>7.1576979999999999</v>
      </c>
      <c r="H179">
        <v>28.770401677324799</v>
      </c>
      <c r="I179">
        <f t="shared" si="0"/>
        <v>2.4177246487936199</v>
      </c>
      <c r="J179" s="9"/>
    </row>
    <row r="180" spans="3:10">
      <c r="C180" s="7" t="s">
        <v>227</v>
      </c>
      <c r="D180">
        <v>204.84169800000001</v>
      </c>
      <c r="E180">
        <v>10.109500000000001</v>
      </c>
      <c r="F180">
        <v>3.1620550000000001</v>
      </c>
      <c r="G180">
        <v>6.9474450000000001</v>
      </c>
      <c r="H180">
        <v>29.576063808268401</v>
      </c>
      <c r="I180">
        <f t="shared" si="0"/>
        <v>2.1971297146950324</v>
      </c>
      <c r="J180" s="9"/>
    </row>
    <row r="181" spans="3:10">
      <c r="C181" s="7" t="s">
        <v>231</v>
      </c>
      <c r="D181">
        <v>204.881719</v>
      </c>
      <c r="E181">
        <v>10.168869000000001</v>
      </c>
      <c r="F181">
        <v>3.3134250000000001</v>
      </c>
      <c r="G181">
        <v>6.8554440000000003</v>
      </c>
      <c r="H181">
        <v>29.997730984461601</v>
      </c>
      <c r="I181">
        <f t="shared" si="0"/>
        <v>2.0689902442336856</v>
      </c>
      <c r="J181" s="9"/>
    </row>
    <row r="182" spans="3:10">
      <c r="C182" s="7" t="s">
        <v>232</v>
      </c>
      <c r="D182">
        <v>204.924961</v>
      </c>
      <c r="E182">
        <v>10.235564</v>
      </c>
      <c r="F182">
        <v>3.5172870000000001</v>
      </c>
      <c r="G182">
        <v>6.7182769999999996</v>
      </c>
      <c r="H182">
        <v>30.680995797563401</v>
      </c>
      <c r="I182">
        <f t="shared" si="0"/>
        <v>1.9100735879670894</v>
      </c>
      <c r="J182" s="9"/>
    </row>
    <row r="183" spans="3:10">
      <c r="C183" s="7" t="s">
        <v>233</v>
      </c>
      <c r="D183">
        <v>204.917868</v>
      </c>
      <c r="E183">
        <v>10.247678000000001</v>
      </c>
      <c r="F183">
        <v>3.7666819999999999</v>
      </c>
      <c r="G183">
        <v>6.4809960000000002</v>
      </c>
      <c r="H183">
        <v>31.856338171378201</v>
      </c>
      <c r="I183">
        <f t="shared" si="0"/>
        <v>1.7206114028208381</v>
      </c>
      <c r="J183" s="9"/>
    </row>
    <row r="184" spans="3:10">
      <c r="C184" s="7" t="s">
        <v>234</v>
      </c>
      <c r="D184">
        <v>204.86341999999999</v>
      </c>
      <c r="E184">
        <v>10.229124000000001</v>
      </c>
      <c r="F184">
        <v>4.0175130000000001</v>
      </c>
      <c r="G184">
        <v>6.2116110000000004</v>
      </c>
      <c r="H184">
        <v>33.190480828526397</v>
      </c>
      <c r="I184">
        <f t="shared" si="0"/>
        <v>1.5461333914787583</v>
      </c>
    </row>
    <row r="185" spans="3:10">
      <c r="C185" s="7" t="s">
        <v>235</v>
      </c>
      <c r="D185">
        <v>204.792878</v>
      </c>
      <c r="E185">
        <v>10.260602</v>
      </c>
      <c r="F185">
        <v>4.2541520000000004</v>
      </c>
      <c r="G185">
        <v>6.0064500000000001</v>
      </c>
      <c r="H185">
        <v>34.217799095202501</v>
      </c>
      <c r="I185">
        <f t="shared" si="0"/>
        <v>1.4119030067566931</v>
      </c>
    </row>
    <row r="186" spans="3:10">
      <c r="C186" s="7" t="s">
        <v>236</v>
      </c>
      <c r="D186">
        <v>204.78541200000001</v>
      </c>
      <c r="E186">
        <v>10.400808</v>
      </c>
      <c r="F186">
        <v>4.4751450000000004</v>
      </c>
      <c r="G186">
        <v>5.9256630000000001</v>
      </c>
      <c r="H186">
        <v>34.654331254727502</v>
      </c>
      <c r="I186">
        <f t="shared" si="0"/>
        <v>1.3241275981001732</v>
      </c>
    </row>
    <row r="187" spans="3:10">
      <c r="C187" s="7" t="s">
        <v>237</v>
      </c>
      <c r="D187">
        <v>204.82618600000001</v>
      </c>
      <c r="E187">
        <v>10.639106</v>
      </c>
      <c r="F187">
        <v>4.7586120000000003</v>
      </c>
      <c r="G187">
        <v>5.8804939999999997</v>
      </c>
      <c r="H187">
        <v>34.957205602348502</v>
      </c>
      <c r="I187">
        <f t="shared" si="0"/>
        <v>1.2357582421092537</v>
      </c>
    </row>
    <row r="188" spans="3:10">
      <c r="C188" s="7" t="s">
        <v>238</v>
      </c>
      <c r="D188">
        <v>204.91319300000001</v>
      </c>
      <c r="E188">
        <v>10.911483</v>
      </c>
      <c r="F188">
        <v>5.1167769999999999</v>
      </c>
      <c r="G188">
        <v>5.7947059999999997</v>
      </c>
      <c r="H188">
        <v>35.557773966639303</v>
      </c>
      <c r="I188">
        <f t="shared" si="0"/>
        <v>1.1324914101200814</v>
      </c>
    </row>
    <row r="189" spans="3:10">
      <c r="C189" s="7"/>
    </row>
    <row r="190" spans="3:10">
      <c r="C190" s="7"/>
    </row>
    <row r="191" spans="3:10">
      <c r="C191" s="7"/>
    </row>
    <row r="192" spans="3:10">
      <c r="C192" s="7"/>
    </row>
    <row r="193" spans="3:8">
      <c r="C193" s="7"/>
    </row>
    <row r="194" spans="3:8">
      <c r="C194" s="7"/>
    </row>
    <row r="195" spans="3:8">
      <c r="C195" s="7"/>
    </row>
    <row r="196" spans="3:8">
      <c r="C196" s="7"/>
    </row>
    <row r="197" spans="3:8">
      <c r="C197" s="7"/>
    </row>
    <row r="198" spans="3:8">
      <c r="C198" s="7"/>
    </row>
    <row r="199" spans="3:8">
      <c r="C199" s="7"/>
    </row>
    <row r="200" spans="3:8">
      <c r="C200" s="7"/>
    </row>
    <row r="201" spans="3:8">
      <c r="C201" s="7"/>
    </row>
    <row r="202" spans="3:8">
      <c r="C202" s="7"/>
    </row>
    <row r="204" spans="3:8">
      <c r="C204" t="s">
        <v>239</v>
      </c>
    </row>
    <row r="205" spans="3:8">
      <c r="C205" t="s">
        <v>240</v>
      </c>
      <c r="D205" t="s">
        <v>228</v>
      </c>
      <c r="E205" t="s">
        <v>10</v>
      </c>
      <c r="F205" t="s">
        <v>79</v>
      </c>
      <c r="G205" t="s">
        <v>78</v>
      </c>
      <c r="H205" t="s">
        <v>229</v>
      </c>
    </row>
    <row r="206" spans="3:8">
      <c r="C206" t="s">
        <v>98</v>
      </c>
      <c r="D206">
        <v>204.91085899999999</v>
      </c>
      <c r="E206">
        <v>10.304460000000001</v>
      </c>
      <c r="F206">
        <v>2.5366719999999998</v>
      </c>
      <c r="G206">
        <v>7.7677880000000004</v>
      </c>
      <c r="H206">
        <v>26.517588402760602</v>
      </c>
    </row>
    <row r="207" spans="3:8">
      <c r="C207" t="s">
        <v>99</v>
      </c>
      <c r="D207">
        <v>204.903502</v>
      </c>
      <c r="E207">
        <v>10.302578</v>
      </c>
      <c r="F207">
        <v>2.5344069999999999</v>
      </c>
      <c r="G207">
        <v>7.7681709999999997</v>
      </c>
      <c r="H207">
        <v>26.5150712404591</v>
      </c>
    </row>
    <row r="208" spans="3:8">
      <c r="C208" t="s">
        <v>241</v>
      </c>
      <c r="D208">
        <v>204.909357</v>
      </c>
      <c r="E208">
        <v>10.30499</v>
      </c>
      <c r="F208">
        <v>2.5371700000000001</v>
      </c>
      <c r="G208">
        <v>7.7678200000000004</v>
      </c>
      <c r="H208">
        <v>26.5174803110935</v>
      </c>
    </row>
    <row r="209" spans="3:8">
      <c r="C209" t="s">
        <v>242</v>
      </c>
      <c r="D209">
        <v>204.91343000000001</v>
      </c>
      <c r="E209">
        <v>10.305558</v>
      </c>
      <c r="F209">
        <v>2.5364089999999999</v>
      </c>
      <c r="G209">
        <v>7.7691489999999996</v>
      </c>
      <c r="H209">
        <v>26.512915067443501</v>
      </c>
    </row>
    <row r="210" spans="3:8">
      <c r="C210" t="s">
        <v>243</v>
      </c>
      <c r="D210">
        <v>204.916573</v>
      </c>
      <c r="E210">
        <v>10.304254999999999</v>
      </c>
      <c r="F210">
        <v>2.535622</v>
      </c>
      <c r="G210">
        <v>7.7686330000000003</v>
      </c>
      <c r="H210">
        <v>26.5151773761737</v>
      </c>
    </row>
    <row r="211" spans="3:8">
      <c r="C211" t="s">
        <v>244</v>
      </c>
      <c r="D211">
        <v>204.91018700000001</v>
      </c>
      <c r="E211">
        <v>10.307034</v>
      </c>
      <c r="F211">
        <v>2.5380929999999999</v>
      </c>
      <c r="G211">
        <v>7.7689409999999999</v>
      </c>
      <c r="H211">
        <v>26.5129467511737</v>
      </c>
    </row>
    <row r="212" spans="3:8">
      <c r="C212" t="s">
        <v>245</v>
      </c>
      <c r="D212">
        <v>204.89928499999999</v>
      </c>
      <c r="E212">
        <v>10.304995999999999</v>
      </c>
      <c r="F212">
        <v>2.5369739999999998</v>
      </c>
      <c r="G212">
        <v>7.7680220000000002</v>
      </c>
      <c r="H212">
        <v>26.514916359506898</v>
      </c>
    </row>
    <row r="213" spans="3:8">
      <c r="C213" t="s">
        <v>246</v>
      </c>
      <c r="D213">
        <v>204.899507</v>
      </c>
      <c r="E213">
        <v>10.302797999999999</v>
      </c>
      <c r="F213">
        <v>2.5348440000000001</v>
      </c>
      <c r="G213">
        <v>7.7679539999999996</v>
      </c>
      <c r="H213">
        <v>26.5153890618875</v>
      </c>
    </row>
    <row r="214" spans="3:8">
      <c r="C214" t="s">
        <v>247</v>
      </c>
      <c r="D214">
        <v>204.91061999999999</v>
      </c>
      <c r="E214">
        <v>10.305367</v>
      </c>
      <c r="F214">
        <v>2.5372279999999998</v>
      </c>
      <c r="G214">
        <v>7.7681389999999997</v>
      </c>
      <c r="H214">
        <v>26.516137601967198</v>
      </c>
    </row>
    <row r="215" spans="3:8">
      <c r="C215" t="s">
        <v>248</v>
      </c>
      <c r="D215">
        <v>204.91299599999999</v>
      </c>
      <c r="E215">
        <v>10.302104</v>
      </c>
      <c r="F215">
        <v>2.53369</v>
      </c>
      <c r="G215">
        <v>7.7684139999999999</v>
      </c>
      <c r="H215">
        <v>26.5154551206181</v>
      </c>
    </row>
    <row r="216" spans="3:8">
      <c r="C216" t="s">
        <v>250</v>
      </c>
      <c r="D216">
        <f t="shared" ref="D216:H216" si="1">AVERAGE(D206:D215)</f>
        <v>204.90863159999998</v>
      </c>
      <c r="E216">
        <f>AVERAGE(E206:E215)</f>
        <v>10.304414</v>
      </c>
      <c r="F216">
        <f t="shared" si="1"/>
        <v>2.5361108999999997</v>
      </c>
      <c r="G216">
        <f t="shared" si="1"/>
        <v>7.7683030999999998</v>
      </c>
      <c r="H216">
        <f t="shared" si="1"/>
        <v>26.515307729308383</v>
      </c>
    </row>
    <row r="217" spans="3:8">
      <c r="C217" t="s">
        <v>251</v>
      </c>
      <c r="D217">
        <f t="shared" ref="D217" si="2">_xlfn.STDEV.S(D206:D215)</f>
        <v>5.9060142265702368E-3</v>
      </c>
      <c r="E217">
        <f>_xlfn.STDEV.S(E206:E215)</f>
        <v>1.5310742053284453E-3</v>
      </c>
      <c r="F217">
        <f t="shared" ref="F217:H217" si="3">_xlfn.STDEV.S(F206:F215)</f>
        <v>1.4163746718686534E-3</v>
      </c>
      <c r="G217">
        <f t="shared" si="3"/>
        <v>4.6993816378080222E-4</v>
      </c>
      <c r="H217">
        <f t="shared" si="3"/>
        <v>1.5692796866472723E-3</v>
      </c>
    </row>
    <row r="218" spans="3:8">
      <c r="C218" t="s">
        <v>252</v>
      </c>
      <c r="D218">
        <f t="shared" ref="D218:H218" si="4">_xlfn.CONFIDENCE.NORM(0.01,D217,COUNT(D206:D215))</f>
        <v>4.8107364838944214E-3</v>
      </c>
      <c r="E218">
        <f>_xlfn.CONFIDENCE.NORM(0.01,E217,COUNT(E206:E215))</f>
        <v>1.2471345744455794E-3</v>
      </c>
      <c r="F218">
        <f t="shared" si="4"/>
        <v>1.1537062132644844E-3</v>
      </c>
      <c r="G218">
        <f t="shared" si="4"/>
        <v>3.827875421471052E-4</v>
      </c>
      <c r="H218">
        <f t="shared" si="4"/>
        <v>1.2782548013556935E-3</v>
      </c>
    </row>
    <row r="220" spans="3:8">
      <c r="C220" t="s">
        <v>253</v>
      </c>
      <c r="D220" t="s">
        <v>254</v>
      </c>
      <c r="E220" t="s">
        <v>255</v>
      </c>
      <c r="F220" t="s">
        <v>256</v>
      </c>
      <c r="G220" t="s">
        <v>257</v>
      </c>
      <c r="H220" t="s">
        <v>258</v>
      </c>
    </row>
  </sheetData>
  <autoFilter ref="C62:G62" xr:uid="{24461DB0-E066-4D80-9F31-EE0FB08E8CE2}">
    <sortState xmlns:xlrd2="http://schemas.microsoft.com/office/spreadsheetml/2017/richdata2" ref="C63:G89">
      <sortCondition descending="1" ref="F62"/>
    </sortState>
  </autoFilter>
  <mergeCells count="5">
    <mergeCell ref="C113:C170"/>
    <mergeCell ref="C92:C110"/>
    <mergeCell ref="C28:C59"/>
    <mergeCell ref="I63:I69"/>
    <mergeCell ref="J174:J183"/>
  </mergeCells>
  <phoneticPr fontId="3" type="noConversion"/>
  <conditionalFormatting sqref="D63:D81">
    <cfRule type="colorScale" priority="1">
      <colorScale>
        <cfvo type="min"/>
        <cfvo type="max"/>
        <color theme="9"/>
        <color theme="9" tint="-0.499984740745262"/>
      </colorScale>
    </cfRule>
  </conditionalFormatting>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07D27-1FF4-439D-92A4-276D421E0659}">
  <dimension ref="B2:W13"/>
  <sheetViews>
    <sheetView topLeftCell="F1" workbookViewId="0">
      <selection activeCell="Y11" sqref="Y11"/>
    </sheetView>
  </sheetViews>
  <sheetFormatPr defaultRowHeight="15"/>
  <cols>
    <col min="2" max="2" width="20.7109375" bestFit="1" customWidth="1"/>
    <col min="19" max="19" width="10.7109375" bestFit="1" customWidth="1"/>
    <col min="20" max="20" width="12.5703125" bestFit="1" customWidth="1"/>
    <col min="21" max="21" width="10.7109375" bestFit="1" customWidth="1"/>
    <col min="22" max="22" width="10.140625" bestFit="1" customWidth="1"/>
  </cols>
  <sheetData>
    <row r="2" spans="2:23">
      <c r="B2" t="s">
        <v>17</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v>0</v>
      </c>
      <c r="E3" s="1">
        <v>0</v>
      </c>
      <c r="F3" s="1">
        <v>0</v>
      </c>
      <c r="G3" s="1">
        <v>0</v>
      </c>
      <c r="H3" s="1">
        <v>34</v>
      </c>
      <c r="I3" s="1">
        <v>0</v>
      </c>
      <c r="J3" s="1">
        <v>38</v>
      </c>
      <c r="K3" s="1">
        <v>29</v>
      </c>
      <c r="L3" s="1">
        <v>0</v>
      </c>
      <c r="M3" s="1">
        <v>40</v>
      </c>
      <c r="N3" s="1">
        <v>0</v>
      </c>
      <c r="O3" s="1">
        <v>60</v>
      </c>
      <c r="P3" s="1"/>
      <c r="Q3" s="1"/>
      <c r="R3" s="1"/>
      <c r="S3">
        <f>SUM(D3:R3)</f>
        <v>201</v>
      </c>
      <c r="T3">
        <f>COUNT(D3:R3)</f>
        <v>12</v>
      </c>
      <c r="U3">
        <f>COUNTIF(D3:R3,0)</f>
        <v>7</v>
      </c>
      <c r="V3">
        <f>T3-U3</f>
        <v>5</v>
      </c>
      <c r="W3">
        <f>S3/V3</f>
        <v>40.200000000000003</v>
      </c>
    </row>
    <row r="4" spans="2:23">
      <c r="C4" t="s">
        <v>31</v>
      </c>
      <c r="D4" s="1">
        <v>0</v>
      </c>
      <c r="E4" s="1">
        <v>42</v>
      </c>
      <c r="F4" s="1">
        <v>0</v>
      </c>
      <c r="G4" s="1">
        <v>37</v>
      </c>
      <c r="H4" s="1">
        <v>61</v>
      </c>
      <c r="I4" s="1">
        <v>29</v>
      </c>
      <c r="J4" s="1">
        <v>0</v>
      </c>
      <c r="K4" s="1">
        <v>34</v>
      </c>
      <c r="L4" s="1"/>
      <c r="M4" s="1"/>
      <c r="N4" s="1"/>
      <c r="O4" s="1"/>
      <c r="P4" s="1"/>
      <c r="Q4" s="1"/>
      <c r="R4" s="1"/>
      <c r="S4">
        <f t="shared" ref="S4:S12" si="0">SUM(D4:R4)</f>
        <v>203</v>
      </c>
      <c r="T4">
        <f t="shared" ref="T4:T12" si="1">COUNT(D4:R4)</f>
        <v>8</v>
      </c>
      <c r="U4">
        <f t="shared" ref="U4:U12" si="2">COUNTIF(D4:R4,0)</f>
        <v>3</v>
      </c>
      <c r="V4">
        <f t="shared" ref="V4:V12" si="3">T4-U4</f>
        <v>5</v>
      </c>
      <c r="W4">
        <f t="shared" ref="W4:W12" si="4">S4/V4</f>
        <v>40.6</v>
      </c>
    </row>
    <row r="5" spans="2:23">
      <c r="C5" t="s">
        <v>32</v>
      </c>
      <c r="D5" s="1">
        <v>0</v>
      </c>
      <c r="E5" s="1">
        <v>48</v>
      </c>
      <c r="F5" s="1">
        <v>0</v>
      </c>
      <c r="G5" s="1">
        <v>0</v>
      </c>
      <c r="H5" s="1">
        <v>38</v>
      </c>
      <c r="I5" s="1">
        <v>29</v>
      </c>
      <c r="J5" s="1">
        <v>0</v>
      </c>
      <c r="K5" s="1">
        <v>0</v>
      </c>
      <c r="L5" s="1">
        <v>34</v>
      </c>
      <c r="M5" s="1">
        <v>64</v>
      </c>
      <c r="N5" s="1"/>
      <c r="O5" s="1"/>
      <c r="P5" s="1"/>
      <c r="Q5" s="1"/>
      <c r="R5" s="1"/>
      <c r="S5">
        <f t="shared" si="0"/>
        <v>213</v>
      </c>
      <c r="T5">
        <f t="shared" si="1"/>
        <v>10</v>
      </c>
      <c r="U5">
        <f t="shared" si="2"/>
        <v>5</v>
      </c>
      <c r="V5">
        <f t="shared" si="3"/>
        <v>5</v>
      </c>
      <c r="W5">
        <f t="shared" si="4"/>
        <v>42.6</v>
      </c>
    </row>
    <row r="6" spans="2:23">
      <c r="C6" t="s">
        <v>33</v>
      </c>
      <c r="D6" s="1">
        <v>34</v>
      </c>
      <c r="E6" s="1">
        <v>27</v>
      </c>
      <c r="F6" s="1">
        <v>0</v>
      </c>
      <c r="G6" s="1">
        <v>0</v>
      </c>
      <c r="H6" s="1">
        <v>0</v>
      </c>
      <c r="I6" s="1">
        <v>29</v>
      </c>
      <c r="J6" s="1">
        <v>0</v>
      </c>
      <c r="K6" s="1">
        <v>0</v>
      </c>
      <c r="L6" s="1">
        <v>40</v>
      </c>
      <c r="M6" s="1">
        <v>35</v>
      </c>
      <c r="N6" s="1">
        <v>61</v>
      </c>
      <c r="O6" s="1"/>
      <c r="P6" s="1"/>
      <c r="Q6" s="1"/>
      <c r="R6" s="1"/>
      <c r="S6">
        <f t="shared" si="0"/>
        <v>226</v>
      </c>
      <c r="T6">
        <f t="shared" si="1"/>
        <v>11</v>
      </c>
      <c r="U6">
        <f t="shared" si="2"/>
        <v>5</v>
      </c>
      <c r="V6">
        <f t="shared" si="3"/>
        <v>6</v>
      </c>
      <c r="W6">
        <f t="shared" si="4"/>
        <v>37.666666666666664</v>
      </c>
    </row>
    <row r="7" spans="2:23">
      <c r="C7" t="s">
        <v>34</v>
      </c>
      <c r="D7" s="1">
        <v>30</v>
      </c>
      <c r="E7" s="1">
        <v>0</v>
      </c>
      <c r="F7" s="1">
        <v>34</v>
      </c>
      <c r="G7" s="1">
        <v>36</v>
      </c>
      <c r="H7" s="1">
        <v>0</v>
      </c>
      <c r="I7" s="1">
        <v>38</v>
      </c>
      <c r="J7" s="1">
        <v>31</v>
      </c>
      <c r="K7" s="1">
        <v>34</v>
      </c>
      <c r="L7" s="1"/>
      <c r="M7" s="1"/>
      <c r="N7" s="1"/>
      <c r="O7" s="1"/>
      <c r="P7" s="1"/>
      <c r="Q7" s="1"/>
      <c r="R7" s="1"/>
      <c r="S7">
        <f t="shared" si="0"/>
        <v>203</v>
      </c>
      <c r="T7">
        <f t="shared" si="1"/>
        <v>8</v>
      </c>
      <c r="U7">
        <f t="shared" si="2"/>
        <v>2</v>
      </c>
      <c r="V7">
        <f t="shared" si="3"/>
        <v>6</v>
      </c>
      <c r="W7">
        <f t="shared" si="4"/>
        <v>33.833333333333336</v>
      </c>
    </row>
    <row r="8" spans="2:23">
      <c r="C8" t="s">
        <v>35</v>
      </c>
      <c r="D8" s="1">
        <v>0</v>
      </c>
      <c r="E8" s="1">
        <v>33</v>
      </c>
      <c r="F8" s="1">
        <v>31</v>
      </c>
      <c r="G8" s="1">
        <v>32</v>
      </c>
      <c r="H8" s="1">
        <v>38</v>
      </c>
      <c r="I8" s="1">
        <v>31</v>
      </c>
      <c r="J8" s="1">
        <v>37</v>
      </c>
      <c r="K8" s="1"/>
      <c r="L8" s="1"/>
      <c r="M8" s="1"/>
      <c r="N8" s="1"/>
      <c r="O8" s="1"/>
      <c r="P8" s="1"/>
      <c r="Q8" s="1"/>
      <c r="R8" s="1"/>
      <c r="S8">
        <f t="shared" si="0"/>
        <v>202</v>
      </c>
      <c r="T8">
        <f t="shared" si="1"/>
        <v>7</v>
      </c>
      <c r="U8">
        <f t="shared" si="2"/>
        <v>1</v>
      </c>
      <c r="V8">
        <f t="shared" si="3"/>
        <v>6</v>
      </c>
      <c r="W8">
        <f t="shared" si="4"/>
        <v>33.666666666666664</v>
      </c>
    </row>
    <row r="9" spans="2:23">
      <c r="C9" t="s">
        <v>36</v>
      </c>
      <c r="D9" s="1">
        <v>0</v>
      </c>
      <c r="E9" s="1">
        <v>0</v>
      </c>
      <c r="F9" s="1">
        <v>29</v>
      </c>
      <c r="G9" s="1">
        <v>41</v>
      </c>
      <c r="H9" s="1">
        <v>0</v>
      </c>
      <c r="I9" s="1">
        <v>0</v>
      </c>
      <c r="J9" s="1">
        <v>38</v>
      </c>
      <c r="K9" s="1">
        <v>0</v>
      </c>
      <c r="L9" s="1">
        <v>0</v>
      </c>
      <c r="M9" s="1">
        <v>38</v>
      </c>
      <c r="N9" s="1">
        <v>32</v>
      </c>
      <c r="O9" s="1">
        <v>33</v>
      </c>
      <c r="P9" s="1"/>
      <c r="Q9" s="1"/>
      <c r="R9" s="1"/>
      <c r="S9">
        <f t="shared" si="0"/>
        <v>211</v>
      </c>
      <c r="T9">
        <f t="shared" si="1"/>
        <v>12</v>
      </c>
      <c r="U9">
        <f t="shared" si="2"/>
        <v>6</v>
      </c>
      <c r="V9">
        <f t="shared" si="3"/>
        <v>6</v>
      </c>
      <c r="W9">
        <f t="shared" si="4"/>
        <v>35.166666666666664</v>
      </c>
    </row>
    <row r="10" spans="2:23">
      <c r="C10" t="s">
        <v>37</v>
      </c>
      <c r="D10" s="1">
        <v>38</v>
      </c>
      <c r="E10" s="1">
        <v>31</v>
      </c>
      <c r="F10" s="1">
        <v>0</v>
      </c>
      <c r="G10" s="1">
        <v>64</v>
      </c>
      <c r="H10" s="1">
        <v>0</v>
      </c>
      <c r="I10" s="1">
        <v>40</v>
      </c>
      <c r="J10" s="1">
        <v>0</v>
      </c>
      <c r="K10" s="1">
        <v>27</v>
      </c>
      <c r="L10" s="1"/>
      <c r="M10" s="1"/>
      <c r="N10" s="1"/>
      <c r="O10" s="1"/>
      <c r="P10" s="1"/>
      <c r="Q10" s="1"/>
      <c r="R10" s="1"/>
      <c r="S10">
        <f t="shared" si="0"/>
        <v>200</v>
      </c>
      <c r="T10">
        <f t="shared" si="1"/>
        <v>8</v>
      </c>
      <c r="U10">
        <f t="shared" si="2"/>
        <v>3</v>
      </c>
      <c r="V10">
        <f t="shared" si="3"/>
        <v>5</v>
      </c>
      <c r="W10">
        <f t="shared" si="4"/>
        <v>40</v>
      </c>
    </row>
    <row r="11" spans="2:23">
      <c r="C11" t="s">
        <v>38</v>
      </c>
      <c r="D11" s="1">
        <v>30</v>
      </c>
      <c r="E11" s="1">
        <v>0</v>
      </c>
      <c r="F11" s="1">
        <v>0</v>
      </c>
      <c r="G11" s="1">
        <v>0</v>
      </c>
      <c r="H11" s="1">
        <v>0</v>
      </c>
      <c r="I11" s="1">
        <v>40</v>
      </c>
      <c r="J11" s="1">
        <v>23</v>
      </c>
      <c r="K11" s="1">
        <v>32</v>
      </c>
      <c r="L11" s="1">
        <v>0</v>
      </c>
      <c r="M11" s="1">
        <v>33</v>
      </c>
      <c r="N11" s="1">
        <v>0</v>
      </c>
      <c r="O11" s="1">
        <v>46</v>
      </c>
      <c r="P11" s="1"/>
      <c r="Q11" s="1"/>
      <c r="R11" s="1"/>
      <c r="S11">
        <f t="shared" si="0"/>
        <v>204</v>
      </c>
      <c r="T11">
        <f t="shared" si="1"/>
        <v>12</v>
      </c>
      <c r="U11">
        <f t="shared" si="2"/>
        <v>6</v>
      </c>
      <c r="V11">
        <f t="shared" si="3"/>
        <v>6</v>
      </c>
      <c r="W11">
        <f t="shared" si="4"/>
        <v>34</v>
      </c>
    </row>
    <row r="12" spans="2:23">
      <c r="C12" t="s">
        <v>39</v>
      </c>
      <c r="D12" s="1">
        <v>0</v>
      </c>
      <c r="E12" s="1">
        <v>71</v>
      </c>
      <c r="F12" s="1">
        <v>35</v>
      </c>
      <c r="G12" s="1">
        <v>0</v>
      </c>
      <c r="H12" s="1">
        <v>28</v>
      </c>
      <c r="I12" s="1">
        <v>28</v>
      </c>
      <c r="J12" s="1">
        <v>38</v>
      </c>
      <c r="K12" s="1"/>
      <c r="L12" s="1"/>
      <c r="M12" s="1"/>
      <c r="N12" s="1"/>
      <c r="O12" s="1"/>
      <c r="P12" s="1"/>
      <c r="Q12" s="1"/>
      <c r="R12" s="1"/>
      <c r="S12">
        <f t="shared" si="0"/>
        <v>200</v>
      </c>
      <c r="T12">
        <f t="shared" si="1"/>
        <v>7</v>
      </c>
      <c r="U12">
        <f t="shared" si="2"/>
        <v>2</v>
      </c>
      <c r="V12">
        <f t="shared" si="3"/>
        <v>5</v>
      </c>
      <c r="W12">
        <f t="shared" si="4"/>
        <v>40</v>
      </c>
    </row>
    <row r="13" spans="2:23">
      <c r="S13" t="s">
        <v>52</v>
      </c>
      <c r="T13">
        <f>AVERAGE(T3:T12)</f>
        <v>9.5</v>
      </c>
      <c r="U13">
        <f t="shared" ref="U13:W13" si="5">AVERAGE(U3:U12)</f>
        <v>4</v>
      </c>
      <c r="V13">
        <f t="shared" si="5"/>
        <v>5.5</v>
      </c>
      <c r="W13">
        <f t="shared" si="5"/>
        <v>37.773333333333333</v>
      </c>
    </row>
  </sheetData>
  <phoneticPr fontId="3" type="noConversion"/>
  <conditionalFormatting sqref="D3:R12">
    <cfRule type="colorScale" priority="5">
      <colorScale>
        <cfvo type="min"/>
        <cfvo type="max"/>
        <color rgb="FFFF7128"/>
        <color theme="9"/>
      </colorScale>
    </cfRule>
    <cfRule type="cellIs" dxfId="24" priority="8" operator="equal">
      <formula>0</formula>
    </cfRule>
  </conditionalFormatting>
  <conditionalFormatting sqref="E7">
    <cfRule type="colorScale" priority="6">
      <colorScale>
        <cfvo type="min"/>
        <cfvo type="max"/>
        <color rgb="FFFF7128"/>
        <color theme="9"/>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4AD94-A3E1-4E9C-A119-699AFE910019}">
  <dimension ref="B2:W13"/>
  <sheetViews>
    <sheetView topLeftCell="G1" workbookViewId="0">
      <selection activeCell="W2" sqref="W2:W13"/>
    </sheetView>
  </sheetViews>
  <sheetFormatPr defaultRowHeight="15"/>
  <cols>
    <col min="2" max="2" width="22.28515625" bestFit="1" customWidth="1"/>
  </cols>
  <sheetData>
    <row r="2" spans="2:23">
      <c r="B2" t="s">
        <v>54</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v>0</v>
      </c>
      <c r="E3" s="1">
        <v>40</v>
      </c>
      <c r="F3" s="1">
        <v>0</v>
      </c>
      <c r="G3" s="1">
        <v>62</v>
      </c>
      <c r="H3" s="1">
        <v>68</v>
      </c>
      <c r="I3" s="1">
        <v>0</v>
      </c>
      <c r="J3" s="1">
        <v>0</v>
      </c>
      <c r="K3" s="1">
        <v>0</v>
      </c>
      <c r="L3" s="1">
        <v>0</v>
      </c>
      <c r="M3" s="1">
        <v>36</v>
      </c>
      <c r="N3" s="1"/>
      <c r="O3" s="1"/>
      <c r="P3" s="1"/>
      <c r="Q3" s="1"/>
      <c r="R3" s="1"/>
      <c r="S3">
        <f>SUM(D3:R3)</f>
        <v>206</v>
      </c>
      <c r="T3">
        <f>COUNT(D3:R3)</f>
        <v>10</v>
      </c>
      <c r="U3">
        <f>COUNTIF(D3:R3,0)</f>
        <v>6</v>
      </c>
      <c r="V3">
        <f>T3-U3</f>
        <v>4</v>
      </c>
      <c r="W3">
        <f>S3/V3</f>
        <v>51.5</v>
      </c>
    </row>
    <row r="4" spans="2:23">
      <c r="C4" t="s">
        <v>31</v>
      </c>
      <c r="D4" s="1">
        <v>0</v>
      </c>
      <c r="E4" s="1">
        <v>0</v>
      </c>
      <c r="F4" s="1">
        <v>0</v>
      </c>
      <c r="G4" s="1">
        <v>0</v>
      </c>
      <c r="H4" s="1">
        <v>36</v>
      </c>
      <c r="I4" s="1">
        <v>30</v>
      </c>
      <c r="J4" s="1">
        <v>0</v>
      </c>
      <c r="K4" s="1">
        <v>0</v>
      </c>
      <c r="L4" s="1">
        <v>35</v>
      </c>
      <c r="M4" s="1">
        <v>33</v>
      </c>
      <c r="N4" s="1">
        <v>0</v>
      </c>
      <c r="O4" s="1">
        <v>37</v>
      </c>
      <c r="P4" s="1">
        <v>33</v>
      </c>
      <c r="Q4" s="1"/>
      <c r="R4" s="1"/>
      <c r="S4">
        <f t="shared" ref="S4:S12" si="0">SUM(D4:R4)</f>
        <v>204</v>
      </c>
      <c r="T4">
        <f t="shared" ref="T4:T12" si="1">COUNT(D4:R4)</f>
        <v>13</v>
      </c>
      <c r="U4">
        <f t="shared" ref="U4:U12" si="2">COUNTIF(D4:R4,0)</f>
        <v>7</v>
      </c>
      <c r="V4">
        <f t="shared" ref="V4:V12" si="3">T4-U4</f>
        <v>6</v>
      </c>
      <c r="W4">
        <f t="shared" ref="W4:W12" si="4">S4/V4</f>
        <v>34</v>
      </c>
    </row>
    <row r="5" spans="2:23">
      <c r="C5" t="s">
        <v>32</v>
      </c>
      <c r="D5" s="1">
        <v>0</v>
      </c>
      <c r="E5" s="1">
        <v>0</v>
      </c>
      <c r="F5" s="1">
        <v>27</v>
      </c>
      <c r="G5" s="1">
        <v>34</v>
      </c>
      <c r="H5" s="1">
        <v>32</v>
      </c>
      <c r="I5" s="1">
        <v>42</v>
      </c>
      <c r="J5" s="1">
        <v>35</v>
      </c>
      <c r="K5" s="1">
        <v>35</v>
      </c>
      <c r="L5" s="1"/>
      <c r="M5" s="1"/>
      <c r="N5" s="1"/>
      <c r="O5" s="1"/>
      <c r="P5" s="1"/>
      <c r="Q5" s="1"/>
      <c r="R5" s="1"/>
      <c r="S5">
        <f t="shared" si="0"/>
        <v>205</v>
      </c>
      <c r="T5">
        <f t="shared" si="1"/>
        <v>8</v>
      </c>
      <c r="U5">
        <f t="shared" si="2"/>
        <v>2</v>
      </c>
      <c r="V5">
        <f t="shared" si="3"/>
        <v>6</v>
      </c>
      <c r="W5">
        <f t="shared" si="4"/>
        <v>34.166666666666664</v>
      </c>
    </row>
    <row r="6" spans="2:23">
      <c r="C6" t="s">
        <v>33</v>
      </c>
      <c r="D6" s="1">
        <v>26</v>
      </c>
      <c r="E6" s="1">
        <v>39</v>
      </c>
      <c r="F6" s="1">
        <v>28</v>
      </c>
      <c r="G6" s="1">
        <v>0</v>
      </c>
      <c r="H6" s="1">
        <v>0</v>
      </c>
      <c r="I6" s="1">
        <v>36</v>
      </c>
      <c r="J6" s="1">
        <v>22</v>
      </c>
      <c r="K6" s="1">
        <v>30</v>
      </c>
      <c r="L6" s="1">
        <v>30</v>
      </c>
      <c r="M6" s="1"/>
      <c r="N6" s="1"/>
      <c r="O6" s="1"/>
      <c r="P6" s="1"/>
      <c r="Q6" s="1"/>
      <c r="R6" s="1"/>
      <c r="S6">
        <f t="shared" si="0"/>
        <v>211</v>
      </c>
      <c r="T6">
        <f t="shared" si="1"/>
        <v>9</v>
      </c>
      <c r="U6">
        <f t="shared" si="2"/>
        <v>2</v>
      </c>
      <c r="V6">
        <f t="shared" si="3"/>
        <v>7</v>
      </c>
      <c r="W6">
        <f t="shared" si="4"/>
        <v>30.142857142857142</v>
      </c>
    </row>
    <row r="7" spans="2:23">
      <c r="C7" t="s">
        <v>34</v>
      </c>
      <c r="D7" s="1">
        <v>31</v>
      </c>
      <c r="E7" s="1">
        <v>0</v>
      </c>
      <c r="F7" s="1">
        <v>0</v>
      </c>
      <c r="G7" s="1">
        <v>33</v>
      </c>
      <c r="H7" s="1">
        <v>29</v>
      </c>
      <c r="I7" s="1">
        <v>0</v>
      </c>
      <c r="J7" s="1">
        <v>28</v>
      </c>
      <c r="K7" s="1">
        <v>31</v>
      </c>
      <c r="L7" s="1">
        <v>34</v>
      </c>
      <c r="M7" s="1">
        <v>21</v>
      </c>
      <c r="N7" s="1"/>
      <c r="O7" s="1"/>
      <c r="P7" s="1"/>
      <c r="Q7" s="1"/>
      <c r="R7" s="1"/>
      <c r="S7">
        <f t="shared" si="0"/>
        <v>207</v>
      </c>
      <c r="T7">
        <f t="shared" si="1"/>
        <v>10</v>
      </c>
      <c r="U7">
        <f t="shared" si="2"/>
        <v>3</v>
      </c>
      <c r="V7">
        <f t="shared" si="3"/>
        <v>7</v>
      </c>
      <c r="W7">
        <f t="shared" si="4"/>
        <v>29.571428571428573</v>
      </c>
    </row>
    <row r="8" spans="2:23">
      <c r="C8" t="s">
        <v>35</v>
      </c>
      <c r="D8" s="1">
        <v>34</v>
      </c>
      <c r="E8" s="1">
        <v>33</v>
      </c>
      <c r="F8" s="1">
        <v>30</v>
      </c>
      <c r="G8" s="1">
        <v>34</v>
      </c>
      <c r="H8" s="1">
        <v>21</v>
      </c>
      <c r="I8" s="1">
        <v>0</v>
      </c>
      <c r="J8" s="1">
        <v>33</v>
      </c>
      <c r="K8" s="1">
        <v>24</v>
      </c>
      <c r="L8" s="1"/>
      <c r="M8" s="1"/>
      <c r="N8" s="1"/>
      <c r="O8" s="1"/>
      <c r="P8" s="1"/>
      <c r="Q8" s="1"/>
      <c r="R8" s="1"/>
      <c r="S8">
        <f t="shared" si="0"/>
        <v>209</v>
      </c>
      <c r="T8">
        <f t="shared" si="1"/>
        <v>8</v>
      </c>
      <c r="U8">
        <f t="shared" si="2"/>
        <v>1</v>
      </c>
      <c r="V8">
        <f t="shared" si="3"/>
        <v>7</v>
      </c>
      <c r="W8">
        <f t="shared" si="4"/>
        <v>29.857142857142858</v>
      </c>
    </row>
    <row r="9" spans="2:23">
      <c r="C9" t="s">
        <v>36</v>
      </c>
      <c r="D9" s="1">
        <v>0</v>
      </c>
      <c r="E9" s="1">
        <v>0</v>
      </c>
      <c r="F9" s="1">
        <v>26</v>
      </c>
      <c r="G9" s="1">
        <v>31</v>
      </c>
      <c r="H9" s="1">
        <v>0</v>
      </c>
      <c r="I9" s="1">
        <v>30</v>
      </c>
      <c r="J9" s="1">
        <v>27</v>
      </c>
      <c r="K9" s="1">
        <v>36</v>
      </c>
      <c r="L9" s="1">
        <v>26</v>
      </c>
      <c r="M9" s="1">
        <v>31</v>
      </c>
      <c r="N9" s="1"/>
      <c r="O9" s="1"/>
      <c r="P9" s="1"/>
      <c r="Q9" s="1"/>
      <c r="R9" s="1"/>
      <c r="S9">
        <f t="shared" si="0"/>
        <v>207</v>
      </c>
      <c r="T9">
        <f t="shared" si="1"/>
        <v>10</v>
      </c>
      <c r="U9">
        <f t="shared" si="2"/>
        <v>3</v>
      </c>
      <c r="V9">
        <f t="shared" si="3"/>
        <v>7</v>
      </c>
      <c r="W9">
        <f t="shared" si="4"/>
        <v>29.571428571428573</v>
      </c>
    </row>
    <row r="10" spans="2:23">
      <c r="C10" t="s">
        <v>37</v>
      </c>
      <c r="D10" s="1">
        <v>34</v>
      </c>
      <c r="E10" s="1">
        <v>38</v>
      </c>
      <c r="F10" s="1">
        <v>43</v>
      </c>
      <c r="G10" s="1">
        <v>0</v>
      </c>
      <c r="H10" s="1">
        <v>0</v>
      </c>
      <c r="I10" s="1">
        <v>40</v>
      </c>
      <c r="J10" s="1">
        <v>28</v>
      </c>
      <c r="K10" s="1">
        <v>0</v>
      </c>
      <c r="L10" s="1">
        <v>17</v>
      </c>
      <c r="M10" s="1"/>
      <c r="N10" s="1"/>
      <c r="O10" s="1"/>
      <c r="P10" s="1"/>
      <c r="Q10" s="1"/>
      <c r="R10" s="1"/>
      <c r="S10">
        <f t="shared" si="0"/>
        <v>200</v>
      </c>
      <c r="T10">
        <f t="shared" si="1"/>
        <v>9</v>
      </c>
      <c r="U10">
        <f t="shared" si="2"/>
        <v>3</v>
      </c>
      <c r="V10">
        <f t="shared" si="3"/>
        <v>6</v>
      </c>
      <c r="W10">
        <f t="shared" si="4"/>
        <v>33.333333333333336</v>
      </c>
    </row>
    <row r="11" spans="2:23">
      <c r="C11" t="s">
        <v>38</v>
      </c>
      <c r="D11" s="1">
        <v>38</v>
      </c>
      <c r="E11" s="1">
        <v>38</v>
      </c>
      <c r="F11" s="1">
        <v>24</v>
      </c>
      <c r="G11" s="1">
        <v>0</v>
      </c>
      <c r="H11" s="1">
        <v>63</v>
      </c>
      <c r="I11" s="1">
        <v>0</v>
      </c>
      <c r="J11" s="1">
        <v>0</v>
      </c>
      <c r="K11" s="1">
        <v>46</v>
      </c>
      <c r="L11" s="1"/>
      <c r="M11" s="1"/>
      <c r="N11" s="1"/>
      <c r="O11" s="1"/>
      <c r="P11" s="1"/>
      <c r="Q11" s="1"/>
      <c r="R11" s="1"/>
      <c r="S11">
        <f t="shared" si="0"/>
        <v>209</v>
      </c>
      <c r="T11">
        <f t="shared" si="1"/>
        <v>8</v>
      </c>
      <c r="U11">
        <f t="shared" si="2"/>
        <v>3</v>
      </c>
      <c r="V11">
        <f t="shared" si="3"/>
        <v>5</v>
      </c>
      <c r="W11">
        <f t="shared" si="4"/>
        <v>41.8</v>
      </c>
    </row>
    <row r="12" spans="2:23">
      <c r="C12" t="s">
        <v>39</v>
      </c>
      <c r="D12" s="1">
        <v>34</v>
      </c>
      <c r="E12" s="1">
        <v>0</v>
      </c>
      <c r="F12" s="1">
        <v>39</v>
      </c>
      <c r="G12" s="1">
        <v>46</v>
      </c>
      <c r="H12" s="1">
        <v>24</v>
      </c>
      <c r="I12" s="1">
        <v>0</v>
      </c>
      <c r="J12" s="1">
        <v>40</v>
      </c>
      <c r="K12" s="1">
        <v>25</v>
      </c>
      <c r="L12" s="1"/>
      <c r="M12" s="1"/>
      <c r="N12" s="1"/>
      <c r="O12" s="1"/>
      <c r="P12" s="1"/>
      <c r="Q12" s="1"/>
      <c r="R12" s="1"/>
      <c r="S12">
        <f t="shared" si="0"/>
        <v>208</v>
      </c>
      <c r="T12">
        <f t="shared" si="1"/>
        <v>8</v>
      </c>
      <c r="U12">
        <f t="shared" si="2"/>
        <v>2</v>
      </c>
      <c r="V12">
        <f t="shared" si="3"/>
        <v>6</v>
      </c>
      <c r="W12">
        <f t="shared" si="4"/>
        <v>34.666666666666664</v>
      </c>
    </row>
    <row r="13" spans="2:23">
      <c r="S13" t="s">
        <v>52</v>
      </c>
      <c r="T13">
        <f>AVERAGE(T3:T12)</f>
        <v>9.3000000000000007</v>
      </c>
      <c r="U13">
        <f t="shared" ref="U13:W13" si="5">AVERAGE(U3:U12)</f>
        <v>3.2</v>
      </c>
      <c r="V13">
        <f t="shared" si="5"/>
        <v>6.1</v>
      </c>
      <c r="W13">
        <f t="shared" si="5"/>
        <v>34.860952380952384</v>
      </c>
    </row>
  </sheetData>
  <conditionalFormatting sqref="D3:R12">
    <cfRule type="colorScale" priority="6">
      <colorScale>
        <cfvo type="min"/>
        <cfvo type="max"/>
        <color rgb="FFFF7128"/>
        <color theme="9"/>
      </colorScale>
    </cfRule>
    <cfRule type="cellIs" dxfId="23" priority="8" operator="equal">
      <formula>0</formula>
    </cfRule>
  </conditionalFormatting>
  <conditionalFormatting sqref="E7">
    <cfRule type="colorScale" priority="7">
      <colorScale>
        <cfvo type="min"/>
        <cfvo type="max"/>
        <color rgb="FFFF7128"/>
        <color theme="9"/>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49E33-793A-477D-90EF-ECE277C36B5D}">
  <dimension ref="B2:AB13"/>
  <sheetViews>
    <sheetView topLeftCell="W1" zoomScale="164" workbookViewId="0">
      <selection activeCell="N9" sqref="N9"/>
    </sheetView>
  </sheetViews>
  <sheetFormatPr defaultRowHeight="15"/>
  <cols>
    <col min="2" max="2" width="19.28515625" bestFit="1" customWidth="1"/>
    <col min="28" max="28" width="13.28515625" bestFit="1" customWidth="1"/>
  </cols>
  <sheetData>
    <row r="2" spans="2:28">
      <c r="B2" t="s">
        <v>55</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21</v>
      </c>
      <c r="E3" s="1">
        <v>21</v>
      </c>
      <c r="F3" s="1">
        <v>11</v>
      </c>
      <c r="G3" s="1">
        <v>17</v>
      </c>
      <c r="H3" s="1">
        <v>24</v>
      </c>
      <c r="I3" s="1">
        <v>19</v>
      </c>
      <c r="J3" s="1">
        <v>24</v>
      </c>
      <c r="K3" s="1">
        <v>18</v>
      </c>
      <c r="L3" s="1">
        <v>17</v>
      </c>
      <c r="M3" s="1">
        <v>19</v>
      </c>
      <c r="N3" s="1">
        <v>21</v>
      </c>
      <c r="O3" s="1"/>
      <c r="P3" s="1"/>
      <c r="Q3" s="1"/>
      <c r="R3" s="1"/>
      <c r="S3" s="1"/>
      <c r="T3" s="1"/>
      <c r="U3" s="1"/>
      <c r="V3" s="1"/>
      <c r="W3" s="1"/>
      <c r="X3">
        <f>SUM(D3:W3)</f>
        <v>212</v>
      </c>
      <c r="Y3">
        <f>COUNT(D3:W3)</f>
        <v>11</v>
      </c>
      <c r="Z3">
        <f>COUNTIF(D3:W3,0)</f>
        <v>0</v>
      </c>
      <c r="AA3">
        <f>Y3-Z3</f>
        <v>11</v>
      </c>
      <c r="AB3">
        <f>X3/AA3</f>
        <v>19.272727272727273</v>
      </c>
    </row>
    <row r="4" spans="2:28">
      <c r="C4" t="s">
        <v>31</v>
      </c>
      <c r="D4" s="1">
        <v>0</v>
      </c>
      <c r="E4" s="1">
        <v>16</v>
      </c>
      <c r="F4" s="1">
        <v>15</v>
      </c>
      <c r="G4" s="1">
        <v>19</v>
      </c>
      <c r="H4" s="1">
        <v>15</v>
      </c>
      <c r="I4" s="1">
        <v>17</v>
      </c>
      <c r="J4" s="1">
        <v>23</v>
      </c>
      <c r="K4" s="1">
        <v>7</v>
      </c>
      <c r="L4" s="1">
        <v>7</v>
      </c>
      <c r="M4" s="1">
        <v>14</v>
      </c>
      <c r="N4" s="1">
        <v>15</v>
      </c>
      <c r="O4" s="1">
        <v>6</v>
      </c>
      <c r="P4" s="1">
        <v>17</v>
      </c>
      <c r="Q4" s="1">
        <v>16</v>
      </c>
      <c r="R4" s="1">
        <v>19</v>
      </c>
      <c r="S4" s="1"/>
      <c r="T4" s="1"/>
      <c r="U4" s="1"/>
      <c r="V4" s="1"/>
      <c r="W4" s="1"/>
      <c r="X4">
        <f t="shared" ref="X4:X12" si="0">SUM(D4:W4)</f>
        <v>206</v>
      </c>
      <c r="Y4">
        <f t="shared" ref="Y4:Y12" si="1">COUNT(D4:W4)</f>
        <v>15</v>
      </c>
      <c r="Z4">
        <f t="shared" ref="Z4:Z12" si="2">COUNTIF(D4:W4,0)</f>
        <v>1</v>
      </c>
      <c r="AA4">
        <f t="shared" ref="AA4:AA12" si="3">Y4-Z4</f>
        <v>14</v>
      </c>
      <c r="AB4">
        <f t="shared" ref="AB4:AB12" si="4">X4/AA4</f>
        <v>14.714285714285714</v>
      </c>
    </row>
    <row r="5" spans="2:28">
      <c r="C5" t="s">
        <v>32</v>
      </c>
      <c r="D5" s="1">
        <v>24</v>
      </c>
      <c r="E5" s="1">
        <v>19</v>
      </c>
      <c r="F5" s="1">
        <v>20</v>
      </c>
      <c r="G5" s="1">
        <v>17</v>
      </c>
      <c r="H5" s="1">
        <v>21</v>
      </c>
      <c r="I5" s="1">
        <v>0</v>
      </c>
      <c r="J5" s="1">
        <v>21</v>
      </c>
      <c r="K5" s="1">
        <v>22</v>
      </c>
      <c r="L5" s="1">
        <v>14</v>
      </c>
      <c r="M5" s="1">
        <v>21</v>
      </c>
      <c r="N5" s="1">
        <v>21</v>
      </c>
      <c r="O5" s="1"/>
      <c r="P5" s="1"/>
      <c r="Q5" s="1"/>
      <c r="R5" s="1"/>
      <c r="S5" s="1"/>
      <c r="T5" s="1"/>
      <c r="U5" s="1"/>
      <c r="V5" s="1"/>
      <c r="W5" s="1"/>
      <c r="X5">
        <f t="shared" si="0"/>
        <v>200</v>
      </c>
      <c r="Y5">
        <f t="shared" si="1"/>
        <v>11</v>
      </c>
      <c r="Z5">
        <f t="shared" si="2"/>
        <v>1</v>
      </c>
      <c r="AA5">
        <f t="shared" si="3"/>
        <v>10</v>
      </c>
      <c r="AB5">
        <f t="shared" si="4"/>
        <v>20</v>
      </c>
    </row>
    <row r="6" spans="2:28">
      <c r="C6" t="s">
        <v>33</v>
      </c>
      <c r="D6" s="1">
        <v>12</v>
      </c>
      <c r="E6" s="1">
        <v>12</v>
      </c>
      <c r="F6" s="1">
        <v>0</v>
      </c>
      <c r="G6" s="1">
        <v>13</v>
      </c>
      <c r="H6" s="1">
        <v>0</v>
      </c>
      <c r="I6" s="1">
        <v>0</v>
      </c>
      <c r="J6" s="1">
        <v>19</v>
      </c>
      <c r="K6" s="1">
        <v>13</v>
      </c>
      <c r="L6" s="1">
        <v>22</v>
      </c>
      <c r="M6" s="1">
        <v>24</v>
      </c>
      <c r="N6" s="1">
        <v>0</v>
      </c>
      <c r="O6" s="1">
        <v>23</v>
      </c>
      <c r="P6" s="1">
        <v>13</v>
      </c>
      <c r="Q6" s="1">
        <v>20</v>
      </c>
      <c r="R6" s="1">
        <v>22</v>
      </c>
      <c r="S6" s="1">
        <v>17</v>
      </c>
      <c r="T6" s="1"/>
      <c r="U6" s="1"/>
      <c r="V6" s="1"/>
      <c r="W6" s="1"/>
      <c r="X6">
        <f t="shared" si="0"/>
        <v>210</v>
      </c>
      <c r="Y6">
        <f t="shared" si="1"/>
        <v>16</v>
      </c>
      <c r="Z6">
        <f t="shared" si="2"/>
        <v>4</v>
      </c>
      <c r="AA6">
        <f t="shared" si="3"/>
        <v>12</v>
      </c>
      <c r="AB6">
        <f t="shared" si="4"/>
        <v>17.5</v>
      </c>
    </row>
    <row r="7" spans="2:28">
      <c r="C7" t="s">
        <v>34</v>
      </c>
      <c r="D7" s="1">
        <v>16</v>
      </c>
      <c r="E7" s="1">
        <v>21</v>
      </c>
      <c r="F7" s="1">
        <v>0</v>
      </c>
      <c r="G7" s="1">
        <v>22</v>
      </c>
      <c r="H7" s="1">
        <v>23</v>
      </c>
      <c r="I7" s="1">
        <v>21</v>
      </c>
      <c r="J7" s="1">
        <v>19</v>
      </c>
      <c r="K7" s="1">
        <v>7</v>
      </c>
      <c r="L7" s="1">
        <v>12</v>
      </c>
      <c r="M7" s="1">
        <v>18</v>
      </c>
      <c r="N7" s="1">
        <v>0</v>
      </c>
      <c r="O7" s="1">
        <v>20</v>
      </c>
      <c r="P7" s="1">
        <v>15</v>
      </c>
      <c r="Q7" s="1">
        <v>0</v>
      </c>
      <c r="R7" s="1">
        <v>11</v>
      </c>
      <c r="S7" s="1"/>
      <c r="T7" s="1"/>
      <c r="U7" s="1"/>
      <c r="V7" s="1"/>
      <c r="W7" s="1"/>
      <c r="X7">
        <f t="shared" si="0"/>
        <v>205</v>
      </c>
      <c r="Y7">
        <f t="shared" si="1"/>
        <v>15</v>
      </c>
      <c r="Z7">
        <f t="shared" si="2"/>
        <v>3</v>
      </c>
      <c r="AA7">
        <f t="shared" si="3"/>
        <v>12</v>
      </c>
      <c r="AB7">
        <f t="shared" si="4"/>
        <v>17.083333333333332</v>
      </c>
    </row>
    <row r="8" spans="2:28">
      <c r="C8" t="s">
        <v>35</v>
      </c>
      <c r="D8" s="1">
        <v>20</v>
      </c>
      <c r="E8" s="1">
        <v>17</v>
      </c>
      <c r="F8" s="1">
        <v>18</v>
      </c>
      <c r="G8" s="1">
        <v>16</v>
      </c>
      <c r="H8" s="1">
        <v>25</v>
      </c>
      <c r="I8" s="1">
        <v>10</v>
      </c>
      <c r="J8" s="1">
        <v>23</v>
      </c>
      <c r="K8" s="1">
        <v>15</v>
      </c>
      <c r="L8" s="1">
        <v>0</v>
      </c>
      <c r="M8" s="1">
        <v>15</v>
      </c>
      <c r="N8" s="1">
        <v>25</v>
      </c>
      <c r="O8" s="1">
        <v>18</v>
      </c>
      <c r="P8" s="1"/>
      <c r="Q8" s="1"/>
      <c r="R8" s="1"/>
      <c r="S8" s="1"/>
      <c r="T8" s="1"/>
      <c r="U8" s="1"/>
      <c r="V8" s="1"/>
      <c r="W8" s="1"/>
      <c r="X8">
        <f t="shared" si="0"/>
        <v>202</v>
      </c>
      <c r="Y8">
        <f t="shared" si="1"/>
        <v>12</v>
      </c>
      <c r="Z8">
        <f t="shared" si="2"/>
        <v>1</v>
      </c>
      <c r="AA8">
        <f t="shared" si="3"/>
        <v>11</v>
      </c>
      <c r="AB8">
        <f t="shared" si="4"/>
        <v>18.363636363636363</v>
      </c>
    </row>
    <row r="9" spans="2:28">
      <c r="C9" t="s">
        <v>36</v>
      </c>
      <c r="D9" s="1">
        <v>24</v>
      </c>
      <c r="E9" s="1">
        <v>18</v>
      </c>
      <c r="F9" s="1">
        <v>24</v>
      </c>
      <c r="G9" s="1">
        <v>21</v>
      </c>
      <c r="H9" s="1">
        <v>23</v>
      </c>
      <c r="I9" s="1">
        <v>12</v>
      </c>
      <c r="J9" s="1">
        <v>14</v>
      </c>
      <c r="K9" s="1">
        <v>22</v>
      </c>
      <c r="L9" s="1">
        <v>24</v>
      </c>
      <c r="M9" s="1">
        <v>21</v>
      </c>
      <c r="N9" s="1"/>
      <c r="O9" s="1"/>
      <c r="P9" s="1"/>
      <c r="Q9" s="1"/>
      <c r="R9" s="1"/>
      <c r="S9" s="1"/>
      <c r="T9" s="1"/>
      <c r="U9" s="1"/>
      <c r="V9" s="1"/>
      <c r="W9" s="1"/>
      <c r="X9">
        <f t="shared" si="0"/>
        <v>203</v>
      </c>
      <c r="Y9">
        <f t="shared" si="1"/>
        <v>10</v>
      </c>
      <c r="Z9">
        <f t="shared" si="2"/>
        <v>0</v>
      </c>
      <c r="AA9">
        <f t="shared" si="3"/>
        <v>10</v>
      </c>
      <c r="AB9">
        <f t="shared" si="4"/>
        <v>20.3</v>
      </c>
    </row>
    <row r="10" spans="2:28">
      <c r="C10" t="s">
        <v>37</v>
      </c>
      <c r="D10" s="1">
        <v>21</v>
      </c>
      <c r="E10" s="1">
        <v>22</v>
      </c>
      <c r="F10" s="1">
        <v>16</v>
      </c>
      <c r="G10" s="1">
        <v>16</v>
      </c>
      <c r="H10" s="1">
        <v>13</v>
      </c>
      <c r="I10" s="1">
        <v>22</v>
      </c>
      <c r="J10" s="1">
        <v>26</v>
      </c>
      <c r="K10" s="1">
        <v>12</v>
      </c>
      <c r="L10" s="1">
        <v>23</v>
      </c>
      <c r="M10" s="1">
        <v>23</v>
      </c>
      <c r="N10" s="1">
        <v>7</v>
      </c>
      <c r="O10" s="1"/>
      <c r="P10" s="1"/>
      <c r="Q10" s="1"/>
      <c r="R10" s="1"/>
      <c r="S10" s="1"/>
      <c r="T10" s="1"/>
      <c r="U10" s="1"/>
      <c r="V10" s="1"/>
      <c r="W10" s="1"/>
      <c r="X10">
        <f t="shared" si="0"/>
        <v>201</v>
      </c>
      <c r="Y10">
        <f t="shared" si="1"/>
        <v>11</v>
      </c>
      <c r="Z10">
        <f t="shared" si="2"/>
        <v>0</v>
      </c>
      <c r="AA10">
        <f t="shared" si="3"/>
        <v>11</v>
      </c>
      <c r="AB10">
        <f t="shared" si="4"/>
        <v>18.272727272727273</v>
      </c>
    </row>
    <row r="11" spans="2:28">
      <c r="C11" t="s">
        <v>38</v>
      </c>
      <c r="D11" s="1">
        <v>24</v>
      </c>
      <c r="E11" s="1">
        <v>0</v>
      </c>
      <c r="F11" s="1">
        <v>21</v>
      </c>
      <c r="G11" s="1">
        <v>18</v>
      </c>
      <c r="H11" s="1">
        <v>19</v>
      </c>
      <c r="I11" s="1">
        <v>19</v>
      </c>
      <c r="J11" s="1">
        <v>7</v>
      </c>
      <c r="K11" s="1">
        <v>12</v>
      </c>
      <c r="L11" s="1">
        <v>0</v>
      </c>
      <c r="M11" s="1">
        <v>0</v>
      </c>
      <c r="N11" s="1">
        <v>21</v>
      </c>
      <c r="O11" s="1">
        <v>13</v>
      </c>
      <c r="P11" s="1">
        <v>23</v>
      </c>
      <c r="Q11" s="1">
        <v>21</v>
      </c>
      <c r="R11" s="1">
        <v>11</v>
      </c>
      <c r="S11" s="1"/>
      <c r="T11" s="1"/>
      <c r="U11" s="1"/>
      <c r="V11" s="1"/>
      <c r="W11" s="1"/>
      <c r="X11">
        <f t="shared" si="0"/>
        <v>209</v>
      </c>
      <c r="Y11">
        <f t="shared" si="1"/>
        <v>15</v>
      </c>
      <c r="Z11">
        <f t="shared" si="2"/>
        <v>3</v>
      </c>
      <c r="AA11">
        <f t="shared" si="3"/>
        <v>12</v>
      </c>
      <c r="AB11">
        <f t="shared" si="4"/>
        <v>17.416666666666668</v>
      </c>
    </row>
    <row r="12" spans="2:28">
      <c r="C12" t="s">
        <v>39</v>
      </c>
      <c r="D12" s="1">
        <v>18</v>
      </c>
      <c r="E12" s="1">
        <v>17</v>
      </c>
      <c r="F12" s="1">
        <v>19</v>
      </c>
      <c r="G12" s="1">
        <v>0</v>
      </c>
      <c r="H12" s="1">
        <v>0</v>
      </c>
      <c r="I12" s="1">
        <v>20</v>
      </c>
      <c r="J12" s="1">
        <v>13</v>
      </c>
      <c r="K12" s="1">
        <v>22</v>
      </c>
      <c r="L12" s="1">
        <v>22</v>
      </c>
      <c r="M12" s="1">
        <v>15</v>
      </c>
      <c r="N12" s="1">
        <v>17</v>
      </c>
      <c r="O12" s="1">
        <v>0</v>
      </c>
      <c r="P12" s="1">
        <v>17</v>
      </c>
      <c r="Q12" s="1">
        <v>17</v>
      </c>
      <c r="R12" s="1">
        <v>23</v>
      </c>
      <c r="S12" s="1"/>
      <c r="T12" s="1"/>
      <c r="U12" s="1"/>
      <c r="V12" s="1"/>
      <c r="W12" s="1"/>
      <c r="X12">
        <f t="shared" si="0"/>
        <v>220</v>
      </c>
      <c r="Y12">
        <f t="shared" si="1"/>
        <v>15</v>
      </c>
      <c r="Z12">
        <f t="shared" si="2"/>
        <v>3</v>
      </c>
      <c r="AA12">
        <f t="shared" si="3"/>
        <v>12</v>
      </c>
      <c r="AB12">
        <f t="shared" si="4"/>
        <v>18.333333333333332</v>
      </c>
    </row>
    <row r="13" spans="2:28">
      <c r="X13" t="s">
        <v>52</v>
      </c>
      <c r="Y13">
        <f>AVERAGE(Y3:Y12)</f>
        <v>13.1</v>
      </c>
      <c r="Z13">
        <f t="shared" ref="Z13:AB13" si="5">AVERAGE(Z3:Z12)</f>
        <v>1.6</v>
      </c>
      <c r="AA13">
        <f t="shared" si="5"/>
        <v>11.5</v>
      </c>
      <c r="AB13">
        <f t="shared" si="5"/>
        <v>18.125670995670994</v>
      </c>
    </row>
  </sheetData>
  <phoneticPr fontId="3" type="noConversion"/>
  <conditionalFormatting sqref="D3:W12">
    <cfRule type="colorScale" priority="1">
      <colorScale>
        <cfvo type="min"/>
        <cfvo type="max"/>
        <color rgb="FFFF7128"/>
        <color theme="9"/>
      </colorScale>
    </cfRule>
    <cfRule type="cellIs" dxfId="22" priority="3" operator="equal">
      <formula>0</formula>
    </cfRule>
  </conditionalFormatting>
  <conditionalFormatting sqref="E7 T7 T3">
    <cfRule type="colorScale" priority="2">
      <colorScale>
        <cfvo type="min"/>
        <cfvo type="max"/>
        <color rgb="FFFF7128"/>
        <color theme="9"/>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53E71-B9FC-4132-971A-4DB881BD4AC6}">
  <dimension ref="B2:W13"/>
  <sheetViews>
    <sheetView topLeftCell="C2" workbookViewId="0">
      <selection activeCell="V17" sqref="V17"/>
    </sheetView>
  </sheetViews>
  <sheetFormatPr defaultRowHeight="15"/>
  <cols>
    <col min="2" max="2" width="19.28515625" bestFit="1" customWidth="1"/>
  </cols>
  <sheetData>
    <row r="2" spans="2:23">
      <c r="B2" t="s">
        <v>56</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v>30</v>
      </c>
      <c r="E3" s="1">
        <v>28</v>
      </c>
      <c r="F3" s="1">
        <v>15</v>
      </c>
      <c r="G3" s="1">
        <v>0</v>
      </c>
      <c r="H3" s="1">
        <v>30</v>
      </c>
      <c r="I3" s="1">
        <v>30</v>
      </c>
      <c r="J3" s="1">
        <v>31</v>
      </c>
      <c r="K3" s="1">
        <v>24</v>
      </c>
      <c r="L3" s="1">
        <v>28</v>
      </c>
      <c r="M3" s="1"/>
      <c r="N3" s="1"/>
      <c r="O3" s="1"/>
      <c r="P3" s="1"/>
      <c r="Q3" s="1"/>
      <c r="R3" s="1"/>
      <c r="S3">
        <f>SUM(D3:R3)</f>
        <v>216</v>
      </c>
      <c r="T3">
        <f>COUNT(D3:R3)</f>
        <v>9</v>
      </c>
      <c r="U3">
        <f>COUNTIF(D3:R3,0)</f>
        <v>1</v>
      </c>
      <c r="V3">
        <f>T3-U3</f>
        <v>8</v>
      </c>
      <c r="W3">
        <f>S3/V3</f>
        <v>27</v>
      </c>
    </row>
    <row r="4" spans="2:23">
      <c r="C4" t="s">
        <v>31</v>
      </c>
      <c r="D4" s="1">
        <v>28</v>
      </c>
      <c r="E4" s="1">
        <v>30</v>
      </c>
      <c r="F4" s="1">
        <v>32</v>
      </c>
      <c r="G4" s="1">
        <v>33</v>
      </c>
      <c r="H4" s="1">
        <v>0</v>
      </c>
      <c r="I4" s="1">
        <v>0</v>
      </c>
      <c r="J4" s="1">
        <v>24</v>
      </c>
      <c r="K4" s="1">
        <v>0</v>
      </c>
      <c r="L4" s="1">
        <v>26</v>
      </c>
      <c r="M4" s="1">
        <v>23</v>
      </c>
      <c r="N4" s="1">
        <v>30</v>
      </c>
      <c r="O4" s="1"/>
      <c r="P4" s="1"/>
      <c r="Q4" s="1"/>
      <c r="R4" s="1"/>
      <c r="S4">
        <f t="shared" ref="S4:S12" si="0">SUM(D4:R4)</f>
        <v>226</v>
      </c>
      <c r="T4">
        <f t="shared" ref="T4:T12" si="1">COUNT(D4:R4)</f>
        <v>11</v>
      </c>
      <c r="U4">
        <f t="shared" ref="U4:U12" si="2">COUNTIF(D4:R4,0)</f>
        <v>3</v>
      </c>
      <c r="V4">
        <f t="shared" ref="V4:V12" si="3">T4-U4</f>
        <v>8</v>
      </c>
      <c r="W4">
        <f t="shared" ref="W4:W12" si="4">S4/V4</f>
        <v>28.25</v>
      </c>
    </row>
    <row r="5" spans="2:23">
      <c r="C5" t="s">
        <v>32</v>
      </c>
      <c r="D5" s="1">
        <v>0</v>
      </c>
      <c r="E5" s="1">
        <v>32</v>
      </c>
      <c r="F5" s="1">
        <v>0</v>
      </c>
      <c r="G5" s="1">
        <v>0</v>
      </c>
      <c r="H5" s="1">
        <v>30</v>
      </c>
      <c r="I5" s="1">
        <v>26</v>
      </c>
      <c r="J5" s="1">
        <v>24</v>
      </c>
      <c r="K5" s="1">
        <v>23</v>
      </c>
      <c r="L5" s="1">
        <v>14</v>
      </c>
      <c r="M5" s="1">
        <v>0</v>
      </c>
      <c r="N5" s="1">
        <v>0</v>
      </c>
      <c r="O5" s="1">
        <v>30</v>
      </c>
      <c r="P5" s="1">
        <v>22</v>
      </c>
      <c r="Q5" s="1"/>
      <c r="R5" s="1"/>
      <c r="S5">
        <f t="shared" si="0"/>
        <v>201</v>
      </c>
      <c r="T5">
        <f t="shared" si="1"/>
        <v>13</v>
      </c>
      <c r="U5">
        <f t="shared" si="2"/>
        <v>5</v>
      </c>
      <c r="V5">
        <f t="shared" si="3"/>
        <v>8</v>
      </c>
      <c r="W5">
        <f t="shared" si="4"/>
        <v>25.125</v>
      </c>
    </row>
    <row r="6" spans="2:23">
      <c r="C6" t="s">
        <v>33</v>
      </c>
      <c r="D6" s="1">
        <v>18</v>
      </c>
      <c r="E6" s="1">
        <v>29</v>
      </c>
      <c r="F6" s="1">
        <v>29</v>
      </c>
      <c r="G6" s="1">
        <v>18</v>
      </c>
      <c r="H6" s="1">
        <v>25</v>
      </c>
      <c r="I6" s="1">
        <v>0</v>
      </c>
      <c r="J6" s="1">
        <v>0</v>
      </c>
      <c r="K6" s="1">
        <v>20</v>
      </c>
      <c r="L6" s="1">
        <v>0</v>
      </c>
      <c r="M6" s="1">
        <v>35</v>
      </c>
      <c r="N6" s="1">
        <v>20</v>
      </c>
      <c r="O6" s="1">
        <v>25</v>
      </c>
      <c r="P6" s="1"/>
      <c r="Q6" s="1"/>
      <c r="R6" s="1"/>
      <c r="S6">
        <f t="shared" si="0"/>
        <v>219</v>
      </c>
      <c r="T6">
        <f t="shared" si="1"/>
        <v>12</v>
      </c>
      <c r="U6">
        <f t="shared" si="2"/>
        <v>3</v>
      </c>
      <c r="V6">
        <f t="shared" si="3"/>
        <v>9</v>
      </c>
      <c r="W6">
        <f t="shared" si="4"/>
        <v>24.333333333333332</v>
      </c>
    </row>
    <row r="7" spans="2:23">
      <c r="C7" t="s">
        <v>34</v>
      </c>
      <c r="D7" s="1">
        <v>23</v>
      </c>
      <c r="E7" s="1">
        <v>25</v>
      </c>
      <c r="F7" s="1">
        <v>15</v>
      </c>
      <c r="G7" s="1">
        <v>33</v>
      </c>
      <c r="H7" s="1">
        <v>33</v>
      </c>
      <c r="I7" s="1">
        <v>28</v>
      </c>
      <c r="J7" s="1">
        <v>20</v>
      </c>
      <c r="K7" s="1">
        <v>0</v>
      </c>
      <c r="L7" s="1">
        <v>15</v>
      </c>
      <c r="M7" s="1">
        <v>25</v>
      </c>
      <c r="N7" s="1"/>
      <c r="O7" s="1"/>
      <c r="P7" s="1"/>
      <c r="Q7" s="1"/>
      <c r="R7" s="1"/>
      <c r="S7">
        <f t="shared" si="0"/>
        <v>217</v>
      </c>
      <c r="T7">
        <f t="shared" si="1"/>
        <v>10</v>
      </c>
      <c r="U7">
        <f t="shared" si="2"/>
        <v>1</v>
      </c>
      <c r="V7">
        <f t="shared" si="3"/>
        <v>9</v>
      </c>
      <c r="W7">
        <f t="shared" si="4"/>
        <v>24.111111111111111</v>
      </c>
    </row>
    <row r="8" spans="2:23">
      <c r="C8" t="s">
        <v>35</v>
      </c>
      <c r="D8" s="1">
        <v>10</v>
      </c>
      <c r="E8" s="1">
        <v>26</v>
      </c>
      <c r="F8" s="1">
        <v>31</v>
      </c>
      <c r="G8" s="1">
        <v>37</v>
      </c>
      <c r="H8" s="1">
        <v>0</v>
      </c>
      <c r="I8" s="1">
        <v>19</v>
      </c>
      <c r="J8" s="1">
        <v>0</v>
      </c>
      <c r="K8" s="1">
        <v>24</v>
      </c>
      <c r="L8" s="1">
        <v>26</v>
      </c>
      <c r="M8" s="1">
        <v>24</v>
      </c>
      <c r="N8" s="1">
        <v>25</v>
      </c>
      <c r="O8" s="1"/>
      <c r="P8" s="1"/>
      <c r="Q8" s="1"/>
      <c r="R8" s="1"/>
      <c r="S8">
        <f t="shared" si="0"/>
        <v>222</v>
      </c>
      <c r="T8">
        <f t="shared" si="1"/>
        <v>11</v>
      </c>
      <c r="U8">
        <f t="shared" si="2"/>
        <v>2</v>
      </c>
      <c r="V8">
        <f t="shared" si="3"/>
        <v>9</v>
      </c>
      <c r="W8">
        <f t="shared" si="4"/>
        <v>24.666666666666668</v>
      </c>
    </row>
    <row r="9" spans="2:23">
      <c r="C9" t="s">
        <v>36</v>
      </c>
      <c r="D9" s="1">
        <v>23</v>
      </c>
      <c r="E9" s="1">
        <v>25</v>
      </c>
      <c r="F9" s="1">
        <v>0</v>
      </c>
      <c r="G9" s="1">
        <v>27</v>
      </c>
      <c r="H9" s="1">
        <v>25</v>
      </c>
      <c r="I9" s="1">
        <v>0</v>
      </c>
      <c r="J9" s="1">
        <v>31</v>
      </c>
      <c r="K9" s="1">
        <v>0</v>
      </c>
      <c r="L9" s="1">
        <v>33</v>
      </c>
      <c r="M9" s="1">
        <v>26</v>
      </c>
      <c r="N9" s="1">
        <v>0</v>
      </c>
      <c r="O9" s="1">
        <v>0</v>
      </c>
      <c r="P9" s="1">
        <v>26</v>
      </c>
      <c r="Q9" s="1"/>
      <c r="R9" s="1"/>
      <c r="S9">
        <f t="shared" si="0"/>
        <v>216</v>
      </c>
      <c r="T9">
        <f t="shared" si="1"/>
        <v>13</v>
      </c>
      <c r="U9">
        <f t="shared" si="2"/>
        <v>5</v>
      </c>
      <c r="V9">
        <f t="shared" si="3"/>
        <v>8</v>
      </c>
      <c r="W9">
        <f t="shared" si="4"/>
        <v>27</v>
      </c>
    </row>
    <row r="10" spans="2:23">
      <c r="C10" t="s">
        <v>37</v>
      </c>
      <c r="D10" s="1">
        <v>0</v>
      </c>
      <c r="E10" s="1">
        <v>28</v>
      </c>
      <c r="F10" s="1">
        <v>0</v>
      </c>
      <c r="G10" s="1">
        <v>32</v>
      </c>
      <c r="H10" s="1">
        <v>31</v>
      </c>
      <c r="I10" s="1">
        <v>30</v>
      </c>
      <c r="J10" s="1">
        <v>25</v>
      </c>
      <c r="K10" s="1">
        <v>0</v>
      </c>
      <c r="L10" s="1">
        <v>25</v>
      </c>
      <c r="M10" s="1">
        <v>0</v>
      </c>
      <c r="N10" s="1">
        <v>35</v>
      </c>
      <c r="O10" s="1"/>
      <c r="P10" s="1"/>
      <c r="Q10" s="1"/>
      <c r="R10" s="1"/>
      <c r="S10">
        <f t="shared" si="0"/>
        <v>206</v>
      </c>
      <c r="T10">
        <f t="shared" si="1"/>
        <v>11</v>
      </c>
      <c r="U10">
        <f t="shared" si="2"/>
        <v>4</v>
      </c>
      <c r="V10">
        <f t="shared" si="3"/>
        <v>7</v>
      </c>
      <c r="W10">
        <f t="shared" si="4"/>
        <v>29.428571428571427</v>
      </c>
    </row>
    <row r="11" spans="2:23">
      <c r="C11" t="s">
        <v>38</v>
      </c>
      <c r="D11" s="1">
        <v>27</v>
      </c>
      <c r="E11" s="1">
        <v>33</v>
      </c>
      <c r="F11" s="1">
        <v>21</v>
      </c>
      <c r="G11" s="1">
        <v>27</v>
      </c>
      <c r="H11" s="1">
        <v>0</v>
      </c>
      <c r="I11" s="1">
        <v>0</v>
      </c>
      <c r="J11" s="1">
        <v>31</v>
      </c>
      <c r="K11" s="1">
        <v>32</v>
      </c>
      <c r="L11" s="1">
        <v>30</v>
      </c>
      <c r="M11" s="1"/>
      <c r="N11" s="1"/>
      <c r="O11" s="1"/>
      <c r="P11" s="1"/>
      <c r="Q11" s="1"/>
      <c r="R11" s="1"/>
      <c r="S11">
        <f t="shared" si="0"/>
        <v>201</v>
      </c>
      <c r="T11">
        <f t="shared" si="1"/>
        <v>9</v>
      </c>
      <c r="U11">
        <f t="shared" si="2"/>
        <v>2</v>
      </c>
      <c r="V11">
        <f t="shared" si="3"/>
        <v>7</v>
      </c>
      <c r="W11">
        <f t="shared" si="4"/>
        <v>28.714285714285715</v>
      </c>
    </row>
    <row r="12" spans="2:23">
      <c r="C12" t="s">
        <v>39</v>
      </c>
      <c r="D12" s="1">
        <v>26</v>
      </c>
      <c r="E12" s="1">
        <v>28</v>
      </c>
      <c r="F12" s="1">
        <v>24</v>
      </c>
      <c r="G12" s="1">
        <v>0</v>
      </c>
      <c r="H12" s="1">
        <v>32</v>
      </c>
      <c r="I12" s="1">
        <v>35</v>
      </c>
      <c r="J12" s="1">
        <v>18</v>
      </c>
      <c r="K12" s="1">
        <v>22</v>
      </c>
      <c r="L12" s="1">
        <v>7</v>
      </c>
      <c r="M12" s="1">
        <v>24</v>
      </c>
      <c r="N12" s="1"/>
      <c r="O12" s="1"/>
      <c r="P12" s="1"/>
      <c r="Q12" s="1"/>
      <c r="R12" s="1"/>
      <c r="S12">
        <f t="shared" si="0"/>
        <v>216</v>
      </c>
      <c r="T12">
        <f t="shared" si="1"/>
        <v>10</v>
      </c>
      <c r="U12">
        <f t="shared" si="2"/>
        <v>1</v>
      </c>
      <c r="V12">
        <f t="shared" si="3"/>
        <v>9</v>
      </c>
      <c r="W12">
        <f t="shared" si="4"/>
        <v>24</v>
      </c>
    </row>
    <row r="13" spans="2:23">
      <c r="S13" t="s">
        <v>52</v>
      </c>
      <c r="T13">
        <f>AVERAGE(T3:T12)</f>
        <v>10.9</v>
      </c>
      <c r="U13">
        <f t="shared" ref="U13:W13" si="5">AVERAGE(U3:U12)</f>
        <v>2.7</v>
      </c>
      <c r="V13">
        <f t="shared" si="5"/>
        <v>8.1999999999999993</v>
      </c>
      <c r="W13">
        <f t="shared" si="5"/>
        <v>26.262896825396819</v>
      </c>
    </row>
  </sheetData>
  <conditionalFormatting sqref="D3:R12">
    <cfRule type="colorScale" priority="6">
      <colorScale>
        <cfvo type="min"/>
        <cfvo type="max"/>
        <color rgb="FFFF7128"/>
        <color theme="9"/>
      </colorScale>
    </cfRule>
    <cfRule type="cellIs" dxfId="21" priority="8" operator="equal">
      <formula>0</formula>
    </cfRule>
  </conditionalFormatting>
  <conditionalFormatting sqref="E7">
    <cfRule type="colorScale" priority="7">
      <colorScale>
        <cfvo type="min"/>
        <cfvo type="max"/>
        <color rgb="FFFF7128"/>
        <color theme="9"/>
      </colorScale>
    </cfRule>
  </conditionalFormatting>
  <conditionalFormatting sqref="U3:U12">
    <cfRule type="colorScale" priority="2">
      <colorScale>
        <cfvo type="min"/>
        <cfvo type="percentile" val="50"/>
        <cfvo type="max"/>
        <color theme="9"/>
        <color rgb="FFFFEB84"/>
        <color rgb="FFFF0000"/>
      </colorScale>
    </cfRule>
  </conditionalFormatting>
  <conditionalFormatting sqref="W3:W12">
    <cfRule type="colorScale" priority="3">
      <colorScale>
        <cfvo type="min"/>
        <cfvo type="percentile" val="50"/>
        <cfvo type="max"/>
        <color rgb="FFFF7128"/>
        <color rgb="FFFFEB84"/>
        <color theme="9"/>
      </colorScale>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4AF274-743C-417B-B7CD-1375C60FCC41}">
  <dimension ref="B2:AB13"/>
  <sheetViews>
    <sheetView topLeftCell="D1" workbookViewId="0">
      <selection activeCell="M12" sqref="M12"/>
    </sheetView>
  </sheetViews>
  <sheetFormatPr defaultRowHeight="15"/>
  <sheetData>
    <row r="2" spans="2:28">
      <c r="B2" t="s">
        <v>57</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46</v>
      </c>
      <c r="E3" s="1">
        <v>29</v>
      </c>
      <c r="F3" s="1">
        <v>0</v>
      </c>
      <c r="G3" s="1">
        <v>26</v>
      </c>
      <c r="H3" s="1">
        <v>35</v>
      </c>
      <c r="I3" s="1">
        <v>40</v>
      </c>
      <c r="J3" s="1">
        <v>0</v>
      </c>
      <c r="K3" s="1">
        <v>0</v>
      </c>
      <c r="L3" s="1">
        <v>0</v>
      </c>
      <c r="M3" s="1">
        <v>39</v>
      </c>
      <c r="N3" s="1"/>
      <c r="O3" s="1"/>
      <c r="P3" s="1"/>
      <c r="Q3" s="1"/>
      <c r="R3" s="1"/>
      <c r="S3" s="1"/>
      <c r="T3" s="1"/>
      <c r="U3" s="1"/>
      <c r="V3" s="1"/>
      <c r="W3" s="1"/>
      <c r="X3">
        <f>SUM(D3:W3)</f>
        <v>215</v>
      </c>
      <c r="Y3">
        <f>COUNT(D3:W3)</f>
        <v>10</v>
      </c>
      <c r="Z3">
        <f>COUNTIF(D3:W3,0)</f>
        <v>4</v>
      </c>
      <c r="AA3">
        <f>Y3-Z3</f>
        <v>6</v>
      </c>
      <c r="AB3">
        <f>X3/AA3</f>
        <v>35.833333333333336</v>
      </c>
    </row>
    <row r="4" spans="2:28">
      <c r="C4" t="s">
        <v>31</v>
      </c>
      <c r="D4" s="1">
        <v>0</v>
      </c>
      <c r="E4" s="1">
        <v>0</v>
      </c>
      <c r="F4" s="1">
        <v>32</v>
      </c>
      <c r="G4" s="1">
        <v>28</v>
      </c>
      <c r="H4" s="1">
        <v>0</v>
      </c>
      <c r="I4" s="1">
        <v>0</v>
      </c>
      <c r="J4" s="1">
        <v>0</v>
      </c>
      <c r="K4" s="1">
        <v>0</v>
      </c>
      <c r="L4" s="1">
        <v>0</v>
      </c>
      <c r="M4" s="1">
        <v>27</v>
      </c>
      <c r="N4" s="1">
        <v>39</v>
      </c>
      <c r="O4" s="1">
        <v>45</v>
      </c>
      <c r="P4" s="1">
        <v>0</v>
      </c>
      <c r="Q4" s="1">
        <v>46</v>
      </c>
      <c r="R4" s="1"/>
      <c r="S4" s="1"/>
      <c r="T4" s="1"/>
      <c r="U4" s="1"/>
      <c r="V4" s="1"/>
      <c r="W4" s="1"/>
      <c r="X4">
        <f t="shared" ref="X4:X12" si="0">SUM(D4:W4)</f>
        <v>217</v>
      </c>
      <c r="Y4">
        <f t="shared" ref="Y4:Y12" si="1">COUNT(D4:W4)</f>
        <v>14</v>
      </c>
      <c r="Z4">
        <f t="shared" ref="Z4:Z12" si="2">COUNTIF(D4:W4,0)</f>
        <v>8</v>
      </c>
      <c r="AA4">
        <f t="shared" ref="AA4:AA12" si="3">Y4-Z4</f>
        <v>6</v>
      </c>
      <c r="AB4">
        <f t="shared" ref="AB4:AB12" si="4">X4/AA4</f>
        <v>36.166666666666664</v>
      </c>
    </row>
    <row r="5" spans="2:28">
      <c r="C5" t="s">
        <v>32</v>
      </c>
      <c r="D5" s="1">
        <v>38</v>
      </c>
      <c r="E5" s="1">
        <v>20</v>
      </c>
      <c r="F5" s="1">
        <v>36</v>
      </c>
      <c r="G5" s="1">
        <v>32</v>
      </c>
      <c r="H5" s="1">
        <v>0</v>
      </c>
      <c r="I5" s="1">
        <v>43</v>
      </c>
      <c r="J5" s="1">
        <v>36</v>
      </c>
      <c r="K5" s="1"/>
      <c r="L5" s="1"/>
      <c r="M5" s="1"/>
      <c r="N5" s="1"/>
      <c r="O5" s="1"/>
      <c r="P5" s="1"/>
      <c r="Q5" s="1"/>
      <c r="R5" s="1"/>
      <c r="S5" s="1"/>
      <c r="T5" s="1"/>
      <c r="U5" s="1"/>
      <c r="V5" s="1"/>
      <c r="W5" s="1"/>
      <c r="X5">
        <f t="shared" si="0"/>
        <v>205</v>
      </c>
      <c r="Y5">
        <f t="shared" si="1"/>
        <v>7</v>
      </c>
      <c r="Z5">
        <f t="shared" si="2"/>
        <v>1</v>
      </c>
      <c r="AA5">
        <f t="shared" si="3"/>
        <v>6</v>
      </c>
      <c r="AB5">
        <f t="shared" si="4"/>
        <v>34.166666666666664</v>
      </c>
    </row>
    <row r="6" spans="2:28">
      <c r="C6" t="s">
        <v>33</v>
      </c>
      <c r="D6" s="1">
        <v>7</v>
      </c>
      <c r="E6" s="1">
        <v>30</v>
      </c>
      <c r="F6" s="1">
        <v>40</v>
      </c>
      <c r="G6" s="1">
        <v>0</v>
      </c>
      <c r="H6" s="1">
        <v>0</v>
      </c>
      <c r="I6" s="1">
        <v>0</v>
      </c>
      <c r="J6" s="1">
        <v>33</v>
      </c>
      <c r="K6" s="1">
        <v>34</v>
      </c>
      <c r="L6" s="1">
        <v>0</v>
      </c>
      <c r="M6" s="1">
        <v>36</v>
      </c>
      <c r="N6" s="1">
        <v>0</v>
      </c>
      <c r="O6" s="1">
        <v>0</v>
      </c>
      <c r="P6" s="1">
        <v>37</v>
      </c>
      <c r="Q6" s="1"/>
      <c r="R6" s="1"/>
      <c r="S6" s="1"/>
      <c r="T6" s="1"/>
      <c r="U6" s="1"/>
      <c r="V6" s="1"/>
      <c r="W6" s="1"/>
      <c r="X6">
        <f t="shared" si="0"/>
        <v>217</v>
      </c>
      <c r="Y6">
        <f t="shared" si="1"/>
        <v>13</v>
      </c>
      <c r="Z6">
        <f t="shared" si="2"/>
        <v>6</v>
      </c>
      <c r="AA6">
        <f t="shared" si="3"/>
        <v>7</v>
      </c>
      <c r="AB6">
        <f t="shared" si="4"/>
        <v>31</v>
      </c>
    </row>
    <row r="7" spans="2:28">
      <c r="C7" t="s">
        <v>34</v>
      </c>
      <c r="D7" s="1">
        <v>32</v>
      </c>
      <c r="E7" s="1">
        <v>36</v>
      </c>
      <c r="F7" s="1">
        <v>40</v>
      </c>
      <c r="G7" s="1">
        <v>0</v>
      </c>
      <c r="H7" s="1">
        <v>31</v>
      </c>
      <c r="I7" s="1">
        <v>30</v>
      </c>
      <c r="J7" s="1">
        <v>0</v>
      </c>
      <c r="K7" s="1">
        <v>41</v>
      </c>
      <c r="L7" s="1"/>
      <c r="M7" s="1"/>
      <c r="N7" s="1"/>
      <c r="O7" s="1"/>
      <c r="P7" s="1"/>
      <c r="Q7" s="1"/>
      <c r="R7" s="1"/>
      <c r="S7" s="1"/>
      <c r="T7" s="1"/>
      <c r="U7" s="1"/>
      <c r="V7" s="1"/>
      <c r="W7" s="1"/>
      <c r="X7">
        <f t="shared" si="0"/>
        <v>210</v>
      </c>
      <c r="Y7">
        <f t="shared" si="1"/>
        <v>8</v>
      </c>
      <c r="Z7">
        <f t="shared" si="2"/>
        <v>2</v>
      </c>
      <c r="AA7">
        <f t="shared" si="3"/>
        <v>6</v>
      </c>
      <c r="AB7">
        <f t="shared" si="4"/>
        <v>35</v>
      </c>
    </row>
    <row r="8" spans="2:28">
      <c r="C8" t="s">
        <v>35</v>
      </c>
      <c r="D8" s="1">
        <v>0</v>
      </c>
      <c r="E8" s="1">
        <v>33</v>
      </c>
      <c r="F8" s="1">
        <v>0</v>
      </c>
      <c r="G8" s="1">
        <v>0</v>
      </c>
      <c r="H8" s="1">
        <v>12</v>
      </c>
      <c r="I8" s="1">
        <v>30</v>
      </c>
      <c r="J8" s="1">
        <v>0</v>
      </c>
      <c r="K8" s="1">
        <v>0</v>
      </c>
      <c r="L8" s="1">
        <v>0</v>
      </c>
      <c r="M8" s="1">
        <v>0</v>
      </c>
      <c r="N8" s="1">
        <v>0</v>
      </c>
      <c r="O8" s="1">
        <v>0</v>
      </c>
      <c r="P8" s="1">
        <v>28</v>
      </c>
      <c r="Q8" s="1">
        <v>0</v>
      </c>
      <c r="R8" s="1">
        <v>30</v>
      </c>
      <c r="S8" s="1">
        <v>0</v>
      </c>
      <c r="T8" s="1">
        <v>31</v>
      </c>
      <c r="U8" s="1">
        <v>45</v>
      </c>
      <c r="V8" s="1"/>
      <c r="W8" s="1"/>
      <c r="X8">
        <f t="shared" si="0"/>
        <v>209</v>
      </c>
      <c r="Y8">
        <f t="shared" si="1"/>
        <v>18</v>
      </c>
      <c r="Z8">
        <f t="shared" si="2"/>
        <v>11</v>
      </c>
      <c r="AA8">
        <f t="shared" si="3"/>
        <v>7</v>
      </c>
      <c r="AB8">
        <f t="shared" si="4"/>
        <v>29.857142857142858</v>
      </c>
    </row>
    <row r="9" spans="2:28">
      <c r="C9" t="s">
        <v>36</v>
      </c>
      <c r="D9" s="1">
        <v>0</v>
      </c>
      <c r="E9" s="1">
        <v>0</v>
      </c>
      <c r="F9" s="1">
        <v>0</v>
      </c>
      <c r="G9" s="1">
        <v>40</v>
      </c>
      <c r="H9" s="1">
        <v>32</v>
      </c>
      <c r="I9" s="1">
        <v>0</v>
      </c>
      <c r="J9" s="1">
        <v>36</v>
      </c>
      <c r="K9" s="1">
        <v>0</v>
      </c>
      <c r="L9" s="1">
        <v>7</v>
      </c>
      <c r="M9" s="1">
        <v>28</v>
      </c>
      <c r="N9" s="1">
        <v>0</v>
      </c>
      <c r="O9" s="1">
        <v>0</v>
      </c>
      <c r="P9" s="1">
        <v>0</v>
      </c>
      <c r="Q9" s="1">
        <v>36</v>
      </c>
      <c r="R9" s="1">
        <v>0</v>
      </c>
      <c r="S9" s="1">
        <v>39</v>
      </c>
      <c r="T9" s="1"/>
      <c r="U9" s="1"/>
      <c r="V9" s="1"/>
      <c r="W9" s="1"/>
      <c r="X9">
        <f t="shared" si="0"/>
        <v>218</v>
      </c>
      <c r="Y9">
        <f t="shared" si="1"/>
        <v>16</v>
      </c>
      <c r="Z9">
        <f t="shared" si="2"/>
        <v>9</v>
      </c>
      <c r="AA9">
        <f t="shared" si="3"/>
        <v>7</v>
      </c>
      <c r="AB9">
        <f t="shared" si="4"/>
        <v>31.142857142857142</v>
      </c>
    </row>
    <row r="10" spans="2:28">
      <c r="C10" t="s">
        <v>37</v>
      </c>
      <c r="D10" s="1">
        <v>34</v>
      </c>
      <c r="E10" s="1">
        <v>0</v>
      </c>
      <c r="F10" s="1">
        <v>45</v>
      </c>
      <c r="G10" s="1">
        <v>31</v>
      </c>
      <c r="H10" s="1">
        <v>24</v>
      </c>
      <c r="I10" s="1">
        <v>0</v>
      </c>
      <c r="J10" s="1">
        <v>0</v>
      </c>
      <c r="K10" s="1">
        <v>42</v>
      </c>
      <c r="L10" s="1">
        <v>0</v>
      </c>
      <c r="M10" s="1">
        <v>39</v>
      </c>
      <c r="N10" s="1"/>
      <c r="O10" s="1"/>
      <c r="P10" s="1"/>
      <c r="Q10" s="1"/>
      <c r="R10" s="1"/>
      <c r="S10" s="1"/>
      <c r="T10" s="1"/>
      <c r="U10" s="1"/>
      <c r="V10" s="1"/>
      <c r="W10" s="1"/>
      <c r="X10">
        <f t="shared" si="0"/>
        <v>215</v>
      </c>
      <c r="Y10">
        <f t="shared" si="1"/>
        <v>10</v>
      </c>
      <c r="Z10">
        <f t="shared" si="2"/>
        <v>4</v>
      </c>
      <c r="AA10">
        <f t="shared" si="3"/>
        <v>6</v>
      </c>
      <c r="AB10">
        <f t="shared" si="4"/>
        <v>35.833333333333336</v>
      </c>
    </row>
    <row r="11" spans="2:28">
      <c r="C11" t="s">
        <v>38</v>
      </c>
      <c r="D11" s="1">
        <v>30</v>
      </c>
      <c r="E11" s="1">
        <v>0</v>
      </c>
      <c r="F11" s="1">
        <v>37</v>
      </c>
      <c r="G11" s="1">
        <v>0</v>
      </c>
      <c r="H11" s="1">
        <v>0</v>
      </c>
      <c r="I11" s="1">
        <v>31</v>
      </c>
      <c r="J11" s="1">
        <v>0</v>
      </c>
      <c r="K11" s="1">
        <v>0</v>
      </c>
      <c r="L11" s="1">
        <v>44</v>
      </c>
      <c r="M11" s="1">
        <v>37</v>
      </c>
      <c r="N11" s="1">
        <v>34</v>
      </c>
      <c r="O11" s="1"/>
      <c r="P11" s="1"/>
      <c r="Q11" s="1"/>
      <c r="R11" s="1"/>
      <c r="S11" s="1"/>
      <c r="T11" s="1"/>
      <c r="U11" s="1"/>
      <c r="V11" s="1"/>
      <c r="W11" s="1"/>
      <c r="X11">
        <f t="shared" si="0"/>
        <v>213</v>
      </c>
      <c r="Y11">
        <f t="shared" si="1"/>
        <v>11</v>
      </c>
      <c r="Z11">
        <f t="shared" si="2"/>
        <v>5</v>
      </c>
      <c r="AA11">
        <f t="shared" si="3"/>
        <v>6</v>
      </c>
      <c r="AB11">
        <f t="shared" si="4"/>
        <v>35.5</v>
      </c>
    </row>
    <row r="12" spans="2:28">
      <c r="C12" t="s">
        <v>39</v>
      </c>
      <c r="D12" s="1">
        <v>30</v>
      </c>
      <c r="E12" s="1">
        <v>36</v>
      </c>
      <c r="F12" s="1">
        <v>0</v>
      </c>
      <c r="G12" s="1">
        <v>29</v>
      </c>
      <c r="H12" s="1">
        <v>0</v>
      </c>
      <c r="I12" s="1">
        <v>36</v>
      </c>
      <c r="J12" s="1">
        <v>0</v>
      </c>
      <c r="K12" s="1">
        <v>32</v>
      </c>
      <c r="L12" s="1">
        <v>41</v>
      </c>
      <c r="M12" s="1"/>
      <c r="N12" s="1"/>
      <c r="O12" s="1"/>
      <c r="P12" s="1"/>
      <c r="Q12" s="1"/>
      <c r="R12" s="1"/>
      <c r="S12" s="1"/>
      <c r="T12" s="1"/>
      <c r="U12" s="1"/>
      <c r="V12" s="1"/>
      <c r="W12" s="1"/>
      <c r="X12">
        <f t="shared" si="0"/>
        <v>204</v>
      </c>
      <c r="Y12">
        <f t="shared" si="1"/>
        <v>9</v>
      </c>
      <c r="Z12">
        <f t="shared" si="2"/>
        <v>3</v>
      </c>
      <c r="AA12">
        <f t="shared" si="3"/>
        <v>6</v>
      </c>
      <c r="AB12">
        <f t="shared" si="4"/>
        <v>34</v>
      </c>
    </row>
    <row r="13" spans="2:28">
      <c r="X13" t="s">
        <v>52</v>
      </c>
      <c r="Y13">
        <f>AVERAGE(Y3:Y12)</f>
        <v>11.6</v>
      </c>
      <c r="Z13">
        <f t="shared" ref="Z13:AB13" si="5">AVERAGE(Z3:Z12)</f>
        <v>5.3</v>
      </c>
      <c r="AA13">
        <f t="shared" si="5"/>
        <v>6.3</v>
      </c>
      <c r="AB13">
        <f t="shared" si="5"/>
        <v>33.85</v>
      </c>
    </row>
  </sheetData>
  <phoneticPr fontId="3" type="noConversion"/>
  <conditionalFormatting sqref="D3:W12">
    <cfRule type="colorScale" priority="1">
      <colorScale>
        <cfvo type="min"/>
        <cfvo type="max"/>
        <color rgb="FFFF7128"/>
        <color theme="9"/>
      </colorScale>
    </cfRule>
    <cfRule type="cellIs" dxfId="20"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647F8-E4E5-49C3-B391-C8FB35E3608C}">
  <dimension ref="B2:W13"/>
  <sheetViews>
    <sheetView workbookViewId="0">
      <selection activeCell="B2" sqref="B2:W13"/>
    </sheetView>
  </sheetViews>
  <sheetFormatPr defaultRowHeight="15"/>
  <cols>
    <col min="2" max="2" width="12.28515625" bestFit="1" customWidth="1"/>
  </cols>
  <sheetData>
    <row r="2" spans="2:23">
      <c r="B2" t="s">
        <v>16</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c r="E3" s="1"/>
      <c r="F3" s="1"/>
      <c r="G3" s="1"/>
      <c r="H3" s="1"/>
      <c r="I3" s="1"/>
      <c r="J3" s="1"/>
      <c r="K3" s="1"/>
      <c r="L3" s="1"/>
      <c r="M3" s="1"/>
      <c r="N3" s="1"/>
      <c r="O3" s="1"/>
      <c r="P3" s="1"/>
      <c r="Q3" s="1"/>
      <c r="R3" s="1"/>
      <c r="S3">
        <f>SUM(D3:R3)</f>
        <v>0</v>
      </c>
      <c r="T3">
        <f>COUNT(D3:R3)</f>
        <v>0</v>
      </c>
      <c r="U3">
        <f>COUNTIF(D3:R3,0)</f>
        <v>0</v>
      </c>
      <c r="V3">
        <f>T3-U3</f>
        <v>0</v>
      </c>
      <c r="W3" t="e">
        <f>S3/V3</f>
        <v>#DIV/0!</v>
      </c>
    </row>
    <row r="4" spans="2:23">
      <c r="C4" t="s">
        <v>31</v>
      </c>
      <c r="D4" s="1"/>
      <c r="E4" s="1"/>
      <c r="F4" s="1"/>
      <c r="G4" s="1"/>
      <c r="H4" s="1"/>
      <c r="I4" s="1"/>
      <c r="J4" s="1"/>
      <c r="K4" s="1"/>
      <c r="L4" s="1"/>
      <c r="M4" s="1"/>
      <c r="N4" s="1"/>
      <c r="O4" s="1"/>
      <c r="P4" s="1"/>
      <c r="Q4" s="1"/>
      <c r="R4" s="1"/>
      <c r="S4">
        <f t="shared" ref="S4:S12" si="0">SUM(D4:R4)</f>
        <v>0</v>
      </c>
      <c r="T4">
        <f t="shared" ref="T4:T12" si="1">COUNT(D4:R4)</f>
        <v>0</v>
      </c>
      <c r="U4">
        <f t="shared" ref="U4:U12" si="2">COUNTIF(D4:R4,0)</f>
        <v>0</v>
      </c>
      <c r="V4">
        <f t="shared" ref="V4:V12" si="3">T4-U4</f>
        <v>0</v>
      </c>
      <c r="W4" t="e">
        <f t="shared" ref="W4:W12" si="4">S4/V4</f>
        <v>#DIV/0!</v>
      </c>
    </row>
    <row r="5" spans="2:23">
      <c r="C5" t="s">
        <v>32</v>
      </c>
      <c r="D5" s="1"/>
      <c r="E5" s="1"/>
      <c r="F5" s="1"/>
      <c r="G5" s="1"/>
      <c r="H5" s="1"/>
      <c r="I5" s="1"/>
      <c r="J5" s="1"/>
      <c r="K5" s="1"/>
      <c r="L5" s="1"/>
      <c r="M5" s="1"/>
      <c r="N5" s="1"/>
      <c r="O5" s="1"/>
      <c r="P5" s="1"/>
      <c r="Q5" s="1"/>
      <c r="R5" s="1"/>
      <c r="S5">
        <f t="shared" si="0"/>
        <v>0</v>
      </c>
      <c r="T5">
        <f t="shared" si="1"/>
        <v>0</v>
      </c>
      <c r="U5">
        <f t="shared" si="2"/>
        <v>0</v>
      </c>
      <c r="V5">
        <f t="shared" si="3"/>
        <v>0</v>
      </c>
      <c r="W5" t="e">
        <f t="shared" si="4"/>
        <v>#DIV/0!</v>
      </c>
    </row>
    <row r="6" spans="2:23">
      <c r="C6" t="s">
        <v>33</v>
      </c>
      <c r="D6" s="1"/>
      <c r="E6" s="1"/>
      <c r="F6" s="1"/>
      <c r="G6" s="1"/>
      <c r="H6" s="1"/>
      <c r="I6" s="1"/>
      <c r="J6" s="1"/>
      <c r="K6" s="1"/>
      <c r="L6" s="1"/>
      <c r="M6" s="1"/>
      <c r="N6" s="1"/>
      <c r="O6" s="1"/>
      <c r="P6" s="1"/>
      <c r="Q6" s="1"/>
      <c r="R6" s="1"/>
      <c r="S6">
        <f t="shared" si="0"/>
        <v>0</v>
      </c>
      <c r="T6">
        <f t="shared" si="1"/>
        <v>0</v>
      </c>
      <c r="U6">
        <f t="shared" si="2"/>
        <v>0</v>
      </c>
      <c r="V6">
        <f t="shared" si="3"/>
        <v>0</v>
      </c>
      <c r="W6" t="e">
        <f t="shared" si="4"/>
        <v>#DIV/0!</v>
      </c>
    </row>
    <row r="7" spans="2:23">
      <c r="C7" t="s">
        <v>34</v>
      </c>
      <c r="D7" s="1"/>
      <c r="E7" s="1"/>
      <c r="F7" s="1"/>
      <c r="G7" s="1"/>
      <c r="H7" s="1"/>
      <c r="I7" s="1"/>
      <c r="J7" s="1"/>
      <c r="K7" s="1"/>
      <c r="L7" s="1"/>
      <c r="M7" s="1"/>
      <c r="N7" s="1"/>
      <c r="O7" s="1"/>
      <c r="P7" s="1"/>
      <c r="Q7" s="1"/>
      <c r="R7" s="1"/>
      <c r="S7">
        <f t="shared" si="0"/>
        <v>0</v>
      </c>
      <c r="T7">
        <f t="shared" si="1"/>
        <v>0</v>
      </c>
      <c r="U7">
        <f t="shared" si="2"/>
        <v>0</v>
      </c>
      <c r="V7">
        <f t="shared" si="3"/>
        <v>0</v>
      </c>
      <c r="W7" t="e">
        <f t="shared" si="4"/>
        <v>#DIV/0!</v>
      </c>
    </row>
    <row r="8" spans="2:23">
      <c r="C8" t="s">
        <v>35</v>
      </c>
      <c r="D8" s="1"/>
      <c r="E8" s="1"/>
      <c r="F8" s="1"/>
      <c r="G8" s="1"/>
      <c r="H8" s="1"/>
      <c r="I8" s="1"/>
      <c r="J8" s="1"/>
      <c r="K8" s="1"/>
      <c r="L8" s="1"/>
      <c r="M8" s="1"/>
      <c r="N8" s="1"/>
      <c r="O8" s="1"/>
      <c r="P8" s="1"/>
      <c r="Q8" s="1"/>
      <c r="R8" s="1"/>
      <c r="S8">
        <f t="shared" si="0"/>
        <v>0</v>
      </c>
      <c r="T8">
        <f t="shared" si="1"/>
        <v>0</v>
      </c>
      <c r="U8">
        <f t="shared" si="2"/>
        <v>0</v>
      </c>
      <c r="V8">
        <f t="shared" si="3"/>
        <v>0</v>
      </c>
      <c r="W8" t="e">
        <f t="shared" si="4"/>
        <v>#DIV/0!</v>
      </c>
    </row>
    <row r="9" spans="2:23">
      <c r="C9" t="s">
        <v>36</v>
      </c>
      <c r="D9" s="1"/>
      <c r="E9" s="1"/>
      <c r="F9" s="1"/>
      <c r="G9" s="1"/>
      <c r="H9" s="1"/>
      <c r="I9" s="1"/>
      <c r="J9" s="1"/>
      <c r="K9" s="1"/>
      <c r="L9" s="1"/>
      <c r="M9" s="1"/>
      <c r="N9" s="1"/>
      <c r="O9" s="1"/>
      <c r="P9" s="1"/>
      <c r="Q9" s="1"/>
      <c r="R9" s="1"/>
      <c r="S9">
        <f t="shared" si="0"/>
        <v>0</v>
      </c>
      <c r="T9">
        <f t="shared" si="1"/>
        <v>0</v>
      </c>
      <c r="U9">
        <f t="shared" si="2"/>
        <v>0</v>
      </c>
      <c r="V9">
        <f t="shared" si="3"/>
        <v>0</v>
      </c>
      <c r="W9" t="e">
        <f t="shared" si="4"/>
        <v>#DIV/0!</v>
      </c>
    </row>
    <row r="10" spans="2:23">
      <c r="C10" t="s">
        <v>37</v>
      </c>
      <c r="D10" s="1"/>
      <c r="E10" s="1"/>
      <c r="F10" s="1"/>
      <c r="G10" s="1"/>
      <c r="H10" s="1"/>
      <c r="I10" s="1"/>
      <c r="J10" s="1"/>
      <c r="K10" s="1"/>
      <c r="L10" s="1"/>
      <c r="M10" s="1"/>
      <c r="N10" s="1"/>
      <c r="O10" s="1"/>
      <c r="P10" s="1"/>
      <c r="Q10" s="1"/>
      <c r="R10" s="1"/>
      <c r="S10">
        <f t="shared" si="0"/>
        <v>0</v>
      </c>
      <c r="T10">
        <f t="shared" si="1"/>
        <v>0</v>
      </c>
      <c r="U10">
        <f t="shared" si="2"/>
        <v>0</v>
      </c>
      <c r="V10">
        <f t="shared" si="3"/>
        <v>0</v>
      </c>
      <c r="W10" t="e">
        <f t="shared" si="4"/>
        <v>#DIV/0!</v>
      </c>
    </row>
    <row r="11" spans="2:23">
      <c r="C11" t="s">
        <v>38</v>
      </c>
      <c r="D11" s="1"/>
      <c r="E11" s="1"/>
      <c r="F11" s="1"/>
      <c r="G11" s="1"/>
      <c r="H11" s="1"/>
      <c r="I11" s="1"/>
      <c r="J11" s="1"/>
      <c r="K11" s="1"/>
      <c r="L11" s="1"/>
      <c r="M11" s="1"/>
      <c r="N11" s="1"/>
      <c r="O11" s="1"/>
      <c r="P11" s="1"/>
      <c r="Q11" s="1"/>
      <c r="R11" s="1"/>
      <c r="S11">
        <f t="shared" si="0"/>
        <v>0</v>
      </c>
      <c r="T11">
        <f t="shared" si="1"/>
        <v>0</v>
      </c>
      <c r="U11">
        <f t="shared" si="2"/>
        <v>0</v>
      </c>
      <c r="V11">
        <f t="shared" si="3"/>
        <v>0</v>
      </c>
      <c r="W11" t="e">
        <f t="shared" si="4"/>
        <v>#DIV/0!</v>
      </c>
    </row>
    <row r="12" spans="2:23">
      <c r="C12" t="s">
        <v>39</v>
      </c>
      <c r="D12" s="1"/>
      <c r="E12" s="1"/>
      <c r="F12" s="1"/>
      <c r="G12" s="1"/>
      <c r="H12" s="1"/>
      <c r="I12" s="1"/>
      <c r="J12" s="1"/>
      <c r="K12" s="1"/>
      <c r="L12" s="1"/>
      <c r="M12" s="1"/>
      <c r="N12" s="1"/>
      <c r="O12" s="1"/>
      <c r="P12" s="1"/>
      <c r="Q12" s="1"/>
      <c r="R12" s="1"/>
      <c r="S12">
        <f t="shared" si="0"/>
        <v>0</v>
      </c>
      <c r="T12">
        <f t="shared" si="1"/>
        <v>0</v>
      </c>
      <c r="U12">
        <f t="shared" si="2"/>
        <v>0</v>
      </c>
      <c r="V12">
        <f t="shared" si="3"/>
        <v>0</v>
      </c>
      <c r="W12" t="e">
        <f t="shared" si="4"/>
        <v>#DIV/0!</v>
      </c>
    </row>
    <row r="13" spans="2:23">
      <c r="S13" t="s">
        <v>52</v>
      </c>
      <c r="T13">
        <f>AVERAGE(T3:T12)</f>
        <v>0</v>
      </c>
      <c r="U13">
        <f t="shared" ref="U13:W13" si="5">AVERAGE(U3:U12)</f>
        <v>0</v>
      </c>
      <c r="V13">
        <f t="shared" si="5"/>
        <v>0</v>
      </c>
      <c r="W13" t="e">
        <f t="shared" si="5"/>
        <v>#DIV/0!</v>
      </c>
    </row>
  </sheetData>
  <conditionalFormatting sqref="D3:R12">
    <cfRule type="colorScale" priority="1">
      <colorScale>
        <cfvo type="min"/>
        <cfvo type="max"/>
        <color rgb="FFFF7128"/>
        <color theme="9"/>
      </colorScale>
    </cfRule>
    <cfRule type="cellIs" dxfId="19"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999220-DDDC-453A-9B68-1468D94327B6}">
  <dimension ref="B2:AG116"/>
  <sheetViews>
    <sheetView topLeftCell="N90" workbookViewId="0">
      <selection activeCell="AD116" sqref="AD116"/>
    </sheetView>
  </sheetViews>
  <sheetFormatPr defaultRowHeight="15"/>
  <cols>
    <col min="2" max="2" width="20.5703125" bestFit="1" customWidth="1"/>
  </cols>
  <sheetData>
    <row r="2" spans="2:33">
      <c r="B2" t="s">
        <v>58</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33">
      <c r="C3" t="s">
        <v>18</v>
      </c>
      <c r="D3" s="1">
        <v>20</v>
      </c>
      <c r="E3" s="1">
        <v>0</v>
      </c>
      <c r="F3" s="1">
        <v>23</v>
      </c>
      <c r="G3" s="1">
        <v>0</v>
      </c>
      <c r="H3" s="1">
        <v>25</v>
      </c>
      <c r="I3" s="1">
        <v>24</v>
      </c>
      <c r="J3" s="1">
        <v>27</v>
      </c>
      <c r="K3" s="1">
        <v>25</v>
      </c>
      <c r="L3" s="1">
        <v>26</v>
      </c>
      <c r="M3" s="1">
        <v>21</v>
      </c>
      <c r="N3" s="1">
        <v>20</v>
      </c>
      <c r="O3" s="1"/>
      <c r="P3" s="1"/>
      <c r="Q3" s="1"/>
      <c r="R3" s="1"/>
      <c r="S3">
        <f>SUM(D3:R3)</f>
        <v>211</v>
      </c>
      <c r="T3">
        <f>COUNT(D3:R3)</f>
        <v>11</v>
      </c>
      <c r="U3">
        <f>COUNTIF(D3:R3,0)</f>
        <v>2</v>
      </c>
      <c r="V3">
        <f>T3-U3</f>
        <v>9</v>
      </c>
      <c r="W3">
        <f>S3/V3</f>
        <v>23.444444444444443</v>
      </c>
    </row>
    <row r="4" spans="2:33">
      <c r="C4" t="s">
        <v>31</v>
      </c>
      <c r="D4" s="1">
        <v>0</v>
      </c>
      <c r="E4" s="1">
        <v>22</v>
      </c>
      <c r="F4" s="1">
        <v>27</v>
      </c>
      <c r="G4" s="1">
        <v>20</v>
      </c>
      <c r="H4" s="1">
        <v>0</v>
      </c>
      <c r="I4" s="1">
        <v>30</v>
      </c>
      <c r="J4" s="1">
        <v>21</v>
      </c>
      <c r="K4" s="1">
        <v>0</v>
      </c>
      <c r="L4" s="1">
        <v>24</v>
      </c>
      <c r="M4" s="1">
        <v>20</v>
      </c>
      <c r="N4" s="1">
        <v>32</v>
      </c>
      <c r="O4" s="1">
        <v>24</v>
      </c>
      <c r="P4" s="1"/>
      <c r="Q4" s="1"/>
      <c r="R4" s="1"/>
      <c r="S4">
        <f t="shared" ref="S4:S12" si="0">SUM(D4:R4)</f>
        <v>220</v>
      </c>
      <c r="T4">
        <f t="shared" ref="T4:T12" si="1">COUNT(D4:R4)</f>
        <v>12</v>
      </c>
      <c r="U4">
        <f t="shared" ref="U4:U12" si="2">COUNTIF(D4:R4,0)</f>
        <v>3</v>
      </c>
      <c r="V4">
        <f t="shared" ref="V4:V12" si="3">T4-U4</f>
        <v>9</v>
      </c>
      <c r="W4">
        <f t="shared" ref="W4:W12" si="4">S4/V4</f>
        <v>24.444444444444443</v>
      </c>
    </row>
    <row r="5" spans="2:33">
      <c r="C5" t="s">
        <v>32</v>
      </c>
      <c r="D5" s="1">
        <v>0</v>
      </c>
      <c r="E5" s="1">
        <v>22</v>
      </c>
      <c r="F5" s="1">
        <v>28</v>
      </c>
      <c r="G5" s="1">
        <v>24</v>
      </c>
      <c r="H5" s="1">
        <v>23</v>
      </c>
      <c r="I5" s="1">
        <v>24</v>
      </c>
      <c r="J5" s="1">
        <v>23</v>
      </c>
      <c r="K5" s="1">
        <v>0</v>
      </c>
      <c r="L5" s="1">
        <v>22</v>
      </c>
      <c r="M5" s="1">
        <v>31</v>
      </c>
      <c r="N5" s="1">
        <v>23</v>
      </c>
      <c r="O5" s="1"/>
      <c r="P5" s="1"/>
      <c r="Q5" s="1"/>
      <c r="R5" s="1"/>
      <c r="S5">
        <f t="shared" si="0"/>
        <v>220</v>
      </c>
      <c r="T5">
        <f t="shared" si="1"/>
        <v>11</v>
      </c>
      <c r="U5">
        <f t="shared" si="2"/>
        <v>2</v>
      </c>
      <c r="V5">
        <f t="shared" si="3"/>
        <v>9</v>
      </c>
      <c r="W5">
        <f t="shared" si="4"/>
        <v>24.444444444444443</v>
      </c>
    </row>
    <row r="6" spans="2:33">
      <c r="C6" t="s">
        <v>33</v>
      </c>
      <c r="D6" s="1">
        <v>27</v>
      </c>
      <c r="E6" s="1">
        <v>22</v>
      </c>
      <c r="F6" s="1">
        <v>25</v>
      </c>
      <c r="G6" s="1">
        <v>23</v>
      </c>
      <c r="H6" s="1">
        <v>23</v>
      </c>
      <c r="I6" s="1">
        <v>24</v>
      </c>
      <c r="J6" s="1">
        <v>27</v>
      </c>
      <c r="K6" s="1">
        <v>21</v>
      </c>
      <c r="L6" s="1">
        <v>20</v>
      </c>
      <c r="M6" s="1"/>
      <c r="N6" s="1"/>
      <c r="O6" s="1"/>
      <c r="P6" s="1"/>
      <c r="Q6" s="1"/>
      <c r="R6" s="1"/>
      <c r="S6">
        <f t="shared" si="0"/>
        <v>212</v>
      </c>
      <c r="T6">
        <f t="shared" si="1"/>
        <v>9</v>
      </c>
      <c r="U6">
        <f t="shared" si="2"/>
        <v>0</v>
      </c>
      <c r="V6">
        <f t="shared" si="3"/>
        <v>9</v>
      </c>
      <c r="W6">
        <f t="shared" si="4"/>
        <v>23.555555555555557</v>
      </c>
    </row>
    <row r="7" spans="2:33">
      <c r="C7" t="s">
        <v>34</v>
      </c>
      <c r="D7" s="1">
        <v>24</v>
      </c>
      <c r="E7" s="1">
        <v>0</v>
      </c>
      <c r="F7" s="1">
        <v>21</v>
      </c>
      <c r="G7" s="1">
        <v>22</v>
      </c>
      <c r="H7" s="1">
        <v>21</v>
      </c>
      <c r="I7" s="1">
        <v>0</v>
      </c>
      <c r="J7" s="1">
        <v>0</v>
      </c>
      <c r="K7" s="1">
        <v>28</v>
      </c>
      <c r="L7" s="1">
        <v>24</v>
      </c>
      <c r="M7" s="1">
        <v>27</v>
      </c>
      <c r="N7" s="1">
        <v>25</v>
      </c>
      <c r="O7" s="1">
        <v>28</v>
      </c>
      <c r="P7" s="1"/>
      <c r="Q7" s="1"/>
      <c r="R7" s="1"/>
      <c r="S7">
        <f t="shared" si="0"/>
        <v>220</v>
      </c>
      <c r="T7">
        <f t="shared" si="1"/>
        <v>12</v>
      </c>
      <c r="U7">
        <f t="shared" si="2"/>
        <v>3</v>
      </c>
      <c r="V7">
        <f t="shared" si="3"/>
        <v>9</v>
      </c>
      <c r="W7">
        <f t="shared" si="4"/>
        <v>24.444444444444443</v>
      </c>
    </row>
    <row r="8" spans="2:33">
      <c r="C8" t="s">
        <v>35</v>
      </c>
      <c r="D8" s="1">
        <v>27</v>
      </c>
      <c r="E8" s="1">
        <v>25</v>
      </c>
      <c r="F8" s="1">
        <v>25</v>
      </c>
      <c r="G8" s="1">
        <v>28</v>
      </c>
      <c r="H8" s="1">
        <v>25</v>
      </c>
      <c r="I8" s="1">
        <v>22</v>
      </c>
      <c r="J8" s="1">
        <v>26</v>
      </c>
      <c r="K8" s="1">
        <v>0</v>
      </c>
      <c r="L8" s="1">
        <v>25</v>
      </c>
      <c r="M8" s="1"/>
      <c r="N8" s="1"/>
      <c r="O8" s="1"/>
      <c r="P8" s="1"/>
      <c r="Q8" s="1"/>
      <c r="R8" s="1"/>
      <c r="S8">
        <f t="shared" si="0"/>
        <v>203</v>
      </c>
      <c r="T8">
        <f t="shared" si="1"/>
        <v>9</v>
      </c>
      <c r="U8">
        <f t="shared" si="2"/>
        <v>1</v>
      </c>
      <c r="V8">
        <f t="shared" si="3"/>
        <v>8</v>
      </c>
      <c r="W8">
        <f t="shared" si="4"/>
        <v>25.375</v>
      </c>
    </row>
    <row r="9" spans="2:33">
      <c r="C9" t="s">
        <v>36</v>
      </c>
      <c r="D9" s="1">
        <v>30</v>
      </c>
      <c r="E9" s="1">
        <v>23</v>
      </c>
      <c r="F9" s="1">
        <v>20</v>
      </c>
      <c r="G9" s="1">
        <v>0</v>
      </c>
      <c r="H9" s="1">
        <v>25</v>
      </c>
      <c r="I9" s="1">
        <v>21</v>
      </c>
      <c r="J9" s="1">
        <v>21</v>
      </c>
      <c r="K9" s="1">
        <v>22</v>
      </c>
      <c r="L9" s="1">
        <v>21</v>
      </c>
      <c r="M9" s="1">
        <v>0</v>
      </c>
      <c r="N9" s="1">
        <v>25</v>
      </c>
      <c r="O9" s="1"/>
      <c r="P9" s="1"/>
      <c r="Q9" s="1"/>
      <c r="R9" s="1"/>
      <c r="S9">
        <f t="shared" si="0"/>
        <v>208</v>
      </c>
      <c r="T9">
        <f t="shared" si="1"/>
        <v>11</v>
      </c>
      <c r="U9">
        <f t="shared" si="2"/>
        <v>2</v>
      </c>
      <c r="V9">
        <f t="shared" si="3"/>
        <v>9</v>
      </c>
      <c r="W9">
        <f t="shared" si="4"/>
        <v>23.111111111111111</v>
      </c>
    </row>
    <row r="10" spans="2:33">
      <c r="C10" t="s">
        <v>37</v>
      </c>
      <c r="D10" s="1">
        <v>22</v>
      </c>
      <c r="E10" s="1">
        <v>20</v>
      </c>
      <c r="F10" s="1">
        <v>27</v>
      </c>
      <c r="G10" s="1">
        <v>0</v>
      </c>
      <c r="H10" s="1">
        <v>26</v>
      </c>
      <c r="I10" s="1">
        <v>32</v>
      </c>
      <c r="J10" s="1">
        <v>20</v>
      </c>
      <c r="K10" s="1">
        <v>21</v>
      </c>
      <c r="L10" s="1">
        <v>0</v>
      </c>
      <c r="M10" s="1">
        <v>23</v>
      </c>
      <c r="N10" s="1">
        <v>21</v>
      </c>
      <c r="O10" s="1"/>
      <c r="P10" s="1"/>
      <c r="Q10" s="1"/>
      <c r="R10" s="1"/>
      <c r="S10">
        <f t="shared" si="0"/>
        <v>212</v>
      </c>
      <c r="T10">
        <f t="shared" si="1"/>
        <v>11</v>
      </c>
      <c r="U10">
        <f t="shared" si="2"/>
        <v>2</v>
      </c>
      <c r="V10">
        <f t="shared" si="3"/>
        <v>9</v>
      </c>
      <c r="W10">
        <f t="shared" si="4"/>
        <v>23.555555555555557</v>
      </c>
    </row>
    <row r="11" spans="2:33">
      <c r="C11" t="s">
        <v>38</v>
      </c>
      <c r="D11" s="1">
        <v>24</v>
      </c>
      <c r="E11" s="1">
        <v>28</v>
      </c>
      <c r="F11" s="1">
        <v>23</v>
      </c>
      <c r="G11" s="1">
        <v>22</v>
      </c>
      <c r="H11" s="1">
        <v>0</v>
      </c>
      <c r="I11" s="1">
        <v>22</v>
      </c>
      <c r="J11" s="1">
        <v>0</v>
      </c>
      <c r="K11" s="1">
        <v>28</v>
      </c>
      <c r="L11" s="1">
        <v>24</v>
      </c>
      <c r="M11" s="1">
        <v>22</v>
      </c>
      <c r="N11" s="1">
        <v>22</v>
      </c>
      <c r="O11" s="1"/>
      <c r="P11" s="1"/>
      <c r="Q11" s="1"/>
      <c r="R11" s="1"/>
      <c r="S11">
        <f t="shared" si="0"/>
        <v>215</v>
      </c>
      <c r="T11">
        <f t="shared" si="1"/>
        <v>11</v>
      </c>
      <c r="U11">
        <f t="shared" si="2"/>
        <v>2</v>
      </c>
      <c r="V11">
        <f t="shared" si="3"/>
        <v>9</v>
      </c>
      <c r="W11">
        <f t="shared" si="4"/>
        <v>23.888888888888889</v>
      </c>
    </row>
    <row r="12" spans="2:33">
      <c r="C12" t="s">
        <v>39</v>
      </c>
      <c r="D12" s="1">
        <v>27</v>
      </c>
      <c r="E12" s="1">
        <v>21</v>
      </c>
      <c r="F12" s="1">
        <v>27</v>
      </c>
      <c r="G12" s="1">
        <v>23</v>
      </c>
      <c r="H12" s="1">
        <v>26</v>
      </c>
      <c r="I12" s="1">
        <v>22</v>
      </c>
      <c r="J12" s="1">
        <v>28</v>
      </c>
      <c r="K12" s="1">
        <v>20</v>
      </c>
      <c r="L12" s="1">
        <v>23</v>
      </c>
      <c r="M12" s="1"/>
      <c r="N12" s="1"/>
      <c r="O12" s="1"/>
      <c r="P12" s="1"/>
      <c r="Q12" s="1"/>
      <c r="R12" s="1"/>
      <c r="S12">
        <f t="shared" si="0"/>
        <v>217</v>
      </c>
      <c r="T12">
        <f t="shared" si="1"/>
        <v>9</v>
      </c>
      <c r="U12">
        <f t="shared" si="2"/>
        <v>0</v>
      </c>
      <c r="V12">
        <f t="shared" si="3"/>
        <v>9</v>
      </c>
      <c r="W12">
        <f t="shared" si="4"/>
        <v>24.111111111111111</v>
      </c>
    </row>
    <row r="13" spans="2:33">
      <c r="S13" t="s">
        <v>52</v>
      </c>
      <c r="T13">
        <f>AVERAGE(T3:T12)</f>
        <v>10.6</v>
      </c>
      <c r="U13">
        <f t="shared" ref="U13:W13" si="5">AVERAGE(U3:U12)</f>
        <v>1.7</v>
      </c>
      <c r="V13">
        <f t="shared" si="5"/>
        <v>8.9</v>
      </c>
      <c r="W13">
        <f t="shared" si="5"/>
        <v>24.037500000000001</v>
      </c>
    </row>
    <row r="15" spans="2:33">
      <c r="D15" t="s">
        <v>19</v>
      </c>
      <c r="E15" t="s">
        <v>20</v>
      </c>
      <c r="F15" t="s">
        <v>21</v>
      </c>
      <c r="G15" t="s">
        <v>22</v>
      </c>
      <c r="H15" t="s">
        <v>23</v>
      </c>
      <c r="I15" t="s">
        <v>24</v>
      </c>
      <c r="J15" t="s">
        <v>25</v>
      </c>
      <c r="K15" t="s">
        <v>26</v>
      </c>
      <c r="L15" t="s">
        <v>27</v>
      </c>
      <c r="M15" t="s">
        <v>28</v>
      </c>
      <c r="N15" t="s">
        <v>29</v>
      </c>
      <c r="O15" t="s">
        <v>30</v>
      </c>
      <c r="P15" t="s">
        <v>40</v>
      </c>
      <c r="Q15" t="s">
        <v>41</v>
      </c>
      <c r="R15" t="s">
        <v>42</v>
      </c>
      <c r="S15" t="s">
        <v>72</v>
      </c>
      <c r="T15" t="s">
        <v>73</v>
      </c>
      <c r="U15" t="s">
        <v>74</v>
      </c>
      <c r="V15" t="s">
        <v>75</v>
      </c>
      <c r="W15" t="s">
        <v>76</v>
      </c>
      <c r="X15" t="s">
        <v>80</v>
      </c>
      <c r="Y15" t="s">
        <v>81</v>
      </c>
      <c r="Z15" t="s">
        <v>82</v>
      </c>
      <c r="AA15" t="s">
        <v>83</v>
      </c>
      <c r="AB15" t="s">
        <v>84</v>
      </c>
      <c r="AC15" t="s">
        <v>50</v>
      </c>
      <c r="AD15" t="s">
        <v>49</v>
      </c>
      <c r="AE15" t="s">
        <v>48</v>
      </c>
      <c r="AF15" t="s">
        <v>51</v>
      </c>
      <c r="AG15" t="s">
        <v>77</v>
      </c>
    </row>
    <row r="16" spans="2:33">
      <c r="C16" t="s">
        <v>18</v>
      </c>
      <c r="D16" s="1">
        <v>25</v>
      </c>
      <c r="E16" s="1">
        <v>0</v>
      </c>
      <c r="F16" s="1">
        <v>0</v>
      </c>
      <c r="G16" s="1">
        <v>24</v>
      </c>
      <c r="H16" s="1">
        <v>26</v>
      </c>
      <c r="I16" s="1">
        <v>27</v>
      </c>
      <c r="J16" s="1">
        <v>22</v>
      </c>
      <c r="K16" s="1">
        <v>27</v>
      </c>
      <c r="L16" s="1">
        <v>29</v>
      </c>
      <c r="M16" s="1">
        <v>54</v>
      </c>
      <c r="N16" s="1"/>
      <c r="O16" s="1"/>
      <c r="P16" s="1"/>
      <c r="Q16" s="1"/>
      <c r="R16" s="1"/>
      <c r="S16" s="1"/>
      <c r="T16" s="1"/>
      <c r="U16" s="1"/>
      <c r="V16" s="1"/>
      <c r="W16" s="1"/>
      <c r="X16" s="1"/>
      <c r="Y16" s="1"/>
      <c r="Z16" s="1"/>
      <c r="AA16" s="1"/>
      <c r="AB16" s="1"/>
      <c r="AC16">
        <f t="shared" ref="AC16:AC47" si="6">SUM(D16:AB16)</f>
        <v>234</v>
      </c>
      <c r="AD16">
        <f t="shared" ref="AD16:AD47" si="7">COUNT(D16:AB16)</f>
        <v>10</v>
      </c>
      <c r="AE16">
        <f t="shared" ref="AE16:AE47" si="8">COUNTIF(D16:AB16,0)</f>
        <v>2</v>
      </c>
      <c r="AF16">
        <f t="shared" ref="AF16:AF79" si="9">AD16-AE16</f>
        <v>8</v>
      </c>
      <c r="AG16">
        <f t="shared" ref="AG16:AG79" si="10">AC16/AF16</f>
        <v>29.25</v>
      </c>
    </row>
    <row r="17" spans="3:33">
      <c r="C17" t="s">
        <v>31</v>
      </c>
      <c r="D17" s="1">
        <v>21</v>
      </c>
      <c r="E17" s="1">
        <v>21</v>
      </c>
      <c r="F17" s="1">
        <v>22</v>
      </c>
      <c r="G17" s="1">
        <v>20</v>
      </c>
      <c r="H17" s="1">
        <v>24</v>
      </c>
      <c r="I17" s="1">
        <v>23</v>
      </c>
      <c r="J17" s="1">
        <v>29</v>
      </c>
      <c r="K17" s="1">
        <v>25</v>
      </c>
      <c r="L17" s="1">
        <v>25</v>
      </c>
      <c r="M17" s="1"/>
      <c r="N17" s="1"/>
      <c r="O17" s="1"/>
      <c r="P17" s="1"/>
      <c r="Q17" s="1"/>
      <c r="R17" s="1"/>
      <c r="S17" s="1"/>
      <c r="T17" s="1"/>
      <c r="U17" s="1"/>
      <c r="V17" s="1"/>
      <c r="W17" s="1"/>
      <c r="X17" s="1"/>
      <c r="Y17" s="1"/>
      <c r="Z17" s="1"/>
      <c r="AA17" s="1"/>
      <c r="AB17" s="1"/>
      <c r="AC17">
        <f t="shared" si="6"/>
        <v>210</v>
      </c>
      <c r="AD17">
        <f t="shared" si="7"/>
        <v>9</v>
      </c>
      <c r="AE17">
        <f t="shared" si="8"/>
        <v>0</v>
      </c>
      <c r="AF17">
        <f t="shared" si="9"/>
        <v>9</v>
      </c>
      <c r="AG17">
        <f t="shared" si="10"/>
        <v>23.333333333333332</v>
      </c>
    </row>
    <row r="18" spans="3:33">
      <c r="C18" t="s">
        <v>32</v>
      </c>
      <c r="D18" s="1">
        <v>22</v>
      </c>
      <c r="E18" s="1">
        <v>24</v>
      </c>
      <c r="F18" s="1">
        <v>0</v>
      </c>
      <c r="G18" s="1">
        <v>20</v>
      </c>
      <c r="H18" s="1">
        <v>0</v>
      </c>
      <c r="I18" s="1">
        <v>0</v>
      </c>
      <c r="J18" s="1">
        <v>24</v>
      </c>
      <c r="K18" s="1">
        <v>26</v>
      </c>
      <c r="L18" s="1">
        <v>26</v>
      </c>
      <c r="M18" s="1">
        <v>24</v>
      </c>
      <c r="N18" s="1">
        <v>22</v>
      </c>
      <c r="O18" s="1">
        <v>29</v>
      </c>
      <c r="P18" s="1"/>
      <c r="Q18" s="1"/>
      <c r="R18" s="1"/>
      <c r="S18" s="1"/>
      <c r="T18" s="1"/>
      <c r="U18" s="1"/>
      <c r="V18" s="1"/>
      <c r="W18" s="1"/>
      <c r="X18" s="1"/>
      <c r="Y18" s="1"/>
      <c r="Z18" s="1"/>
      <c r="AA18" s="1"/>
      <c r="AB18" s="1"/>
      <c r="AC18">
        <f t="shared" si="6"/>
        <v>217</v>
      </c>
      <c r="AD18">
        <f t="shared" si="7"/>
        <v>12</v>
      </c>
      <c r="AE18">
        <f t="shared" si="8"/>
        <v>3</v>
      </c>
      <c r="AF18">
        <f t="shared" si="9"/>
        <v>9</v>
      </c>
      <c r="AG18">
        <f t="shared" si="10"/>
        <v>24.111111111111111</v>
      </c>
    </row>
    <row r="19" spans="3:33">
      <c r="C19" t="s">
        <v>33</v>
      </c>
      <c r="D19" s="1">
        <v>25</v>
      </c>
      <c r="E19" s="1">
        <v>30</v>
      </c>
      <c r="F19" s="1">
        <v>25</v>
      </c>
      <c r="G19" s="1">
        <v>29</v>
      </c>
      <c r="H19" s="1">
        <v>29</v>
      </c>
      <c r="I19" s="1">
        <v>21</v>
      </c>
      <c r="J19" s="1">
        <v>22</v>
      </c>
      <c r="K19" s="1">
        <v>22</v>
      </c>
      <c r="L19" s="1"/>
      <c r="M19" s="1"/>
      <c r="N19" s="1"/>
      <c r="O19" s="1"/>
      <c r="P19" s="1"/>
      <c r="Q19" s="1"/>
      <c r="R19" s="1"/>
      <c r="S19" s="1"/>
      <c r="T19" s="1"/>
      <c r="U19" s="1"/>
      <c r="V19" s="1"/>
      <c r="W19" s="1"/>
      <c r="X19" s="1"/>
      <c r="Y19" s="1"/>
      <c r="Z19" s="1"/>
      <c r="AA19" s="1"/>
      <c r="AB19" s="1"/>
      <c r="AC19">
        <f t="shared" si="6"/>
        <v>203</v>
      </c>
      <c r="AD19">
        <f t="shared" si="7"/>
        <v>8</v>
      </c>
      <c r="AE19">
        <f t="shared" si="8"/>
        <v>0</v>
      </c>
      <c r="AF19">
        <f t="shared" si="9"/>
        <v>8</v>
      </c>
      <c r="AG19">
        <f t="shared" si="10"/>
        <v>25.375</v>
      </c>
    </row>
    <row r="20" spans="3:33">
      <c r="C20" t="s">
        <v>34</v>
      </c>
      <c r="D20" s="1">
        <v>21</v>
      </c>
      <c r="E20" s="1">
        <v>21</v>
      </c>
      <c r="F20" s="1">
        <v>20</v>
      </c>
      <c r="G20" s="1">
        <v>0</v>
      </c>
      <c r="H20" s="1">
        <v>0</v>
      </c>
      <c r="I20" s="1">
        <v>27</v>
      </c>
      <c r="J20" s="1">
        <v>22</v>
      </c>
      <c r="K20" s="1">
        <v>27</v>
      </c>
      <c r="L20" s="1">
        <v>24</v>
      </c>
      <c r="M20" s="1">
        <v>0</v>
      </c>
      <c r="N20" s="1">
        <v>21</v>
      </c>
      <c r="O20" s="1">
        <v>24</v>
      </c>
      <c r="P20" s="1"/>
      <c r="Q20" s="1"/>
      <c r="R20" s="1"/>
      <c r="S20" s="1"/>
      <c r="T20" s="1"/>
      <c r="U20" s="1"/>
      <c r="V20" s="1"/>
      <c r="W20" s="1"/>
      <c r="X20" s="1"/>
      <c r="Y20" s="1"/>
      <c r="Z20" s="1"/>
      <c r="AA20" s="1"/>
      <c r="AB20" s="1"/>
      <c r="AC20">
        <f t="shared" si="6"/>
        <v>207</v>
      </c>
      <c r="AD20">
        <f t="shared" si="7"/>
        <v>12</v>
      </c>
      <c r="AE20">
        <f t="shared" si="8"/>
        <v>3</v>
      </c>
      <c r="AF20">
        <f t="shared" si="9"/>
        <v>9</v>
      </c>
      <c r="AG20">
        <f t="shared" si="10"/>
        <v>23</v>
      </c>
    </row>
    <row r="21" spans="3:33">
      <c r="C21" t="s">
        <v>35</v>
      </c>
      <c r="D21" s="1">
        <v>20</v>
      </c>
      <c r="E21" s="1">
        <v>27</v>
      </c>
      <c r="F21" s="1">
        <v>21</v>
      </c>
      <c r="G21" s="1">
        <v>30</v>
      </c>
      <c r="H21" s="1">
        <v>27</v>
      </c>
      <c r="I21" s="1">
        <v>0</v>
      </c>
      <c r="J21" s="1">
        <v>24</v>
      </c>
      <c r="K21" s="1">
        <v>20</v>
      </c>
      <c r="L21" s="1">
        <v>20</v>
      </c>
      <c r="M21" s="1">
        <v>26</v>
      </c>
      <c r="N21" s="1"/>
      <c r="O21" s="1"/>
      <c r="P21" s="1"/>
      <c r="Q21" s="1"/>
      <c r="R21" s="1"/>
      <c r="S21" s="1"/>
      <c r="T21" s="1"/>
      <c r="U21" s="1"/>
      <c r="V21" s="1"/>
      <c r="W21" s="1"/>
      <c r="X21" s="1"/>
      <c r="Y21" s="1"/>
      <c r="Z21" s="1"/>
      <c r="AA21" s="1"/>
      <c r="AB21" s="1"/>
      <c r="AC21">
        <f t="shared" si="6"/>
        <v>215</v>
      </c>
      <c r="AD21">
        <f t="shared" si="7"/>
        <v>10</v>
      </c>
      <c r="AE21">
        <f t="shared" si="8"/>
        <v>1</v>
      </c>
      <c r="AF21">
        <f t="shared" si="9"/>
        <v>9</v>
      </c>
      <c r="AG21">
        <f t="shared" si="10"/>
        <v>23.888888888888889</v>
      </c>
    </row>
    <row r="22" spans="3:33">
      <c r="C22" t="s">
        <v>36</v>
      </c>
      <c r="D22" s="1">
        <v>0</v>
      </c>
      <c r="E22" s="1">
        <v>28</v>
      </c>
      <c r="F22" s="1">
        <v>28</v>
      </c>
      <c r="G22" s="1">
        <v>0</v>
      </c>
      <c r="H22" s="1">
        <v>25</v>
      </c>
      <c r="I22" s="1">
        <v>23</v>
      </c>
      <c r="J22" s="1">
        <v>0</v>
      </c>
      <c r="K22" s="1">
        <v>29</v>
      </c>
      <c r="L22" s="1">
        <v>29</v>
      </c>
      <c r="M22" s="1">
        <v>25</v>
      </c>
      <c r="N22" s="1">
        <v>23</v>
      </c>
      <c r="O22" s="1"/>
      <c r="P22" s="1"/>
      <c r="Q22" s="1"/>
      <c r="R22" s="1"/>
      <c r="S22" s="1"/>
      <c r="T22" s="1"/>
      <c r="U22" s="1"/>
      <c r="V22" s="1"/>
      <c r="W22" s="1"/>
      <c r="X22" s="1"/>
      <c r="Y22" s="1"/>
      <c r="Z22" s="1"/>
      <c r="AA22" s="1"/>
      <c r="AB22" s="1"/>
      <c r="AC22">
        <f t="shared" si="6"/>
        <v>210</v>
      </c>
      <c r="AD22">
        <f t="shared" si="7"/>
        <v>11</v>
      </c>
      <c r="AE22">
        <f t="shared" si="8"/>
        <v>3</v>
      </c>
      <c r="AF22">
        <f t="shared" si="9"/>
        <v>8</v>
      </c>
      <c r="AG22">
        <f t="shared" si="10"/>
        <v>26.25</v>
      </c>
    </row>
    <row r="23" spans="3:33">
      <c r="C23" t="s">
        <v>37</v>
      </c>
      <c r="D23" s="1">
        <v>20</v>
      </c>
      <c r="E23" s="1">
        <v>25</v>
      </c>
      <c r="F23" s="1">
        <v>0</v>
      </c>
      <c r="G23" s="1">
        <v>58</v>
      </c>
      <c r="H23" s="1">
        <v>23</v>
      </c>
      <c r="I23" s="1">
        <v>20</v>
      </c>
      <c r="J23" s="1">
        <v>23</v>
      </c>
      <c r="K23" s="1">
        <v>26</v>
      </c>
      <c r="L23" s="1">
        <v>20</v>
      </c>
      <c r="M23" s="1"/>
      <c r="N23" s="1"/>
      <c r="O23" s="1"/>
      <c r="P23" s="1"/>
      <c r="Q23" s="1"/>
      <c r="R23" s="1"/>
      <c r="S23" s="1"/>
      <c r="T23" s="1"/>
      <c r="U23" s="1"/>
      <c r="V23" s="1"/>
      <c r="W23" s="1"/>
      <c r="X23" s="1"/>
      <c r="Y23" s="1"/>
      <c r="Z23" s="1"/>
      <c r="AA23" s="1"/>
      <c r="AB23" s="1"/>
      <c r="AC23">
        <f t="shared" si="6"/>
        <v>215</v>
      </c>
      <c r="AD23">
        <f t="shared" si="7"/>
        <v>9</v>
      </c>
      <c r="AE23">
        <f t="shared" si="8"/>
        <v>1</v>
      </c>
      <c r="AF23">
        <f t="shared" si="9"/>
        <v>8</v>
      </c>
      <c r="AG23">
        <f t="shared" si="10"/>
        <v>26.875</v>
      </c>
    </row>
    <row r="24" spans="3:33">
      <c r="C24" t="s">
        <v>38</v>
      </c>
      <c r="D24" s="1">
        <v>21</v>
      </c>
      <c r="E24" s="1">
        <v>20</v>
      </c>
      <c r="F24" s="1">
        <v>24</v>
      </c>
      <c r="G24" s="1">
        <v>21</v>
      </c>
      <c r="H24" s="1">
        <v>24</v>
      </c>
      <c r="I24" s="1">
        <v>31</v>
      </c>
      <c r="J24" s="1">
        <v>20</v>
      </c>
      <c r="K24" s="1">
        <v>22</v>
      </c>
      <c r="L24" s="1">
        <v>23</v>
      </c>
      <c r="M24" s="1"/>
      <c r="N24" s="1"/>
      <c r="O24" s="1"/>
      <c r="P24" s="1"/>
      <c r="Q24" s="1"/>
      <c r="R24" s="1"/>
      <c r="S24" s="1"/>
      <c r="T24" s="1"/>
      <c r="U24" s="1"/>
      <c r="V24" s="1"/>
      <c r="W24" s="1"/>
      <c r="X24" s="1"/>
      <c r="Y24" s="1"/>
      <c r="Z24" s="1"/>
      <c r="AA24" s="1"/>
      <c r="AB24" s="1"/>
      <c r="AC24">
        <f t="shared" si="6"/>
        <v>206</v>
      </c>
      <c r="AD24">
        <f t="shared" si="7"/>
        <v>9</v>
      </c>
      <c r="AE24">
        <f t="shared" si="8"/>
        <v>0</v>
      </c>
      <c r="AF24">
        <f t="shared" si="9"/>
        <v>9</v>
      </c>
      <c r="AG24">
        <f t="shared" si="10"/>
        <v>22.888888888888889</v>
      </c>
    </row>
    <row r="25" spans="3:33">
      <c r="C25" t="s">
        <v>39</v>
      </c>
      <c r="D25" s="1">
        <v>0</v>
      </c>
      <c r="E25" s="1">
        <v>24</v>
      </c>
      <c r="F25" s="1">
        <v>22</v>
      </c>
      <c r="G25" s="1">
        <v>20</v>
      </c>
      <c r="H25" s="1">
        <v>25</v>
      </c>
      <c r="I25" s="1">
        <v>25</v>
      </c>
      <c r="J25" s="1">
        <v>22</v>
      </c>
      <c r="K25" s="1">
        <v>0</v>
      </c>
      <c r="L25" s="1">
        <v>29</v>
      </c>
      <c r="M25" s="1">
        <v>22</v>
      </c>
      <c r="N25" s="1">
        <v>22</v>
      </c>
      <c r="O25" s="1"/>
      <c r="P25" s="1"/>
      <c r="Q25" s="1"/>
      <c r="R25" s="1"/>
      <c r="S25" s="1"/>
      <c r="T25" s="1"/>
      <c r="U25" s="1"/>
      <c r="V25" s="1"/>
      <c r="W25" s="1"/>
      <c r="X25" s="1"/>
      <c r="Y25" s="1"/>
      <c r="Z25" s="1"/>
      <c r="AA25" s="1"/>
      <c r="AB25" s="1"/>
      <c r="AC25">
        <f t="shared" si="6"/>
        <v>211</v>
      </c>
      <c r="AD25">
        <f t="shared" si="7"/>
        <v>11</v>
      </c>
      <c r="AE25">
        <f t="shared" si="8"/>
        <v>2</v>
      </c>
      <c r="AF25">
        <f t="shared" si="9"/>
        <v>9</v>
      </c>
      <c r="AG25">
        <f t="shared" si="10"/>
        <v>23.444444444444443</v>
      </c>
    </row>
    <row r="26" spans="3:33">
      <c r="C26" t="s">
        <v>115</v>
      </c>
      <c r="D26" s="1">
        <v>23</v>
      </c>
      <c r="E26" s="1">
        <v>24</v>
      </c>
      <c r="F26" s="1">
        <v>22</v>
      </c>
      <c r="G26" s="1">
        <v>31</v>
      </c>
      <c r="H26" s="1">
        <v>21</v>
      </c>
      <c r="I26" s="1">
        <v>21</v>
      </c>
      <c r="J26" s="1">
        <v>21</v>
      </c>
      <c r="K26" s="1">
        <v>20</v>
      </c>
      <c r="L26" s="1">
        <v>0</v>
      </c>
      <c r="M26" s="1">
        <v>21</v>
      </c>
      <c r="N26" s="1"/>
      <c r="O26" s="1"/>
      <c r="P26" s="1"/>
      <c r="Q26" s="1"/>
      <c r="R26" s="1"/>
      <c r="S26" s="1"/>
      <c r="T26" s="1"/>
      <c r="U26" s="1"/>
      <c r="V26" s="1"/>
      <c r="W26" s="1"/>
      <c r="X26" s="1"/>
      <c r="Y26" s="1"/>
      <c r="Z26" s="1"/>
      <c r="AA26" s="1"/>
      <c r="AB26" s="1"/>
      <c r="AC26">
        <f t="shared" si="6"/>
        <v>204</v>
      </c>
      <c r="AD26">
        <f t="shared" si="7"/>
        <v>10</v>
      </c>
      <c r="AE26">
        <f t="shared" si="8"/>
        <v>1</v>
      </c>
      <c r="AF26">
        <f t="shared" si="9"/>
        <v>9</v>
      </c>
      <c r="AG26">
        <f t="shared" si="10"/>
        <v>22.666666666666668</v>
      </c>
    </row>
    <row r="27" spans="3:33">
      <c r="C27" t="s">
        <v>116</v>
      </c>
      <c r="D27" s="1">
        <v>20</v>
      </c>
      <c r="E27" s="1">
        <v>28</v>
      </c>
      <c r="F27" s="1">
        <v>28</v>
      </c>
      <c r="G27" s="1">
        <v>21</v>
      </c>
      <c r="H27" s="1">
        <v>0</v>
      </c>
      <c r="I27" s="1">
        <v>25</v>
      </c>
      <c r="J27" s="1">
        <v>0</v>
      </c>
      <c r="K27" s="1">
        <v>20</v>
      </c>
      <c r="L27" s="1">
        <v>22</v>
      </c>
      <c r="M27" s="1">
        <v>22</v>
      </c>
      <c r="N27" s="1">
        <v>20</v>
      </c>
      <c r="O27" s="1"/>
      <c r="P27" s="1"/>
      <c r="Q27" s="1"/>
      <c r="R27" s="1"/>
      <c r="S27" s="1"/>
      <c r="T27" s="1"/>
      <c r="U27" s="1"/>
      <c r="V27" s="1"/>
      <c r="W27" s="1"/>
      <c r="X27" s="1"/>
      <c r="Y27" s="1"/>
      <c r="Z27" s="1"/>
      <c r="AA27" s="1"/>
      <c r="AB27" s="1"/>
      <c r="AC27">
        <f t="shared" si="6"/>
        <v>206</v>
      </c>
      <c r="AD27">
        <f t="shared" si="7"/>
        <v>11</v>
      </c>
      <c r="AE27">
        <f t="shared" si="8"/>
        <v>2</v>
      </c>
      <c r="AF27">
        <f t="shared" si="9"/>
        <v>9</v>
      </c>
      <c r="AG27">
        <f t="shared" si="10"/>
        <v>22.888888888888889</v>
      </c>
    </row>
    <row r="28" spans="3:33">
      <c r="C28" t="s">
        <v>117</v>
      </c>
      <c r="D28" s="1">
        <v>0</v>
      </c>
      <c r="E28" s="1">
        <v>20</v>
      </c>
      <c r="F28" s="1">
        <v>29</v>
      </c>
      <c r="G28" s="1">
        <v>0</v>
      </c>
      <c r="H28" s="1">
        <v>30</v>
      </c>
      <c r="I28" s="1">
        <v>25</v>
      </c>
      <c r="J28" s="1">
        <v>23</v>
      </c>
      <c r="K28" s="1">
        <v>23</v>
      </c>
      <c r="L28" s="1">
        <v>28</v>
      </c>
      <c r="M28" s="1">
        <v>30</v>
      </c>
      <c r="N28" s="1"/>
      <c r="O28" s="1"/>
      <c r="P28" s="1"/>
      <c r="Q28" s="1"/>
      <c r="R28" s="1"/>
      <c r="S28" s="1"/>
      <c r="T28" s="1"/>
      <c r="U28" s="1"/>
      <c r="V28" s="1"/>
      <c r="W28" s="1"/>
      <c r="X28" s="1"/>
      <c r="Y28" s="1"/>
      <c r="Z28" s="1"/>
      <c r="AA28" s="1"/>
      <c r="AB28" s="1"/>
      <c r="AC28">
        <f t="shared" si="6"/>
        <v>208</v>
      </c>
      <c r="AD28">
        <f t="shared" si="7"/>
        <v>10</v>
      </c>
      <c r="AE28">
        <f t="shared" si="8"/>
        <v>2</v>
      </c>
      <c r="AF28">
        <f t="shared" si="9"/>
        <v>8</v>
      </c>
      <c r="AG28">
        <f t="shared" si="10"/>
        <v>26</v>
      </c>
    </row>
    <row r="29" spans="3:33">
      <c r="C29" t="s">
        <v>118</v>
      </c>
      <c r="D29" s="1">
        <v>29</v>
      </c>
      <c r="E29" s="1">
        <v>24</v>
      </c>
      <c r="F29" s="1">
        <v>25</v>
      </c>
      <c r="G29" s="1">
        <v>0</v>
      </c>
      <c r="H29" s="1">
        <v>32</v>
      </c>
      <c r="I29" s="1">
        <v>28</v>
      </c>
      <c r="J29" s="1">
        <v>32</v>
      </c>
      <c r="K29" s="1">
        <v>27</v>
      </c>
      <c r="L29" s="1">
        <v>0</v>
      </c>
      <c r="M29" s="1">
        <v>24</v>
      </c>
      <c r="N29" s="1"/>
      <c r="O29" s="1"/>
      <c r="P29" s="1"/>
      <c r="Q29" s="1"/>
      <c r="R29" s="1"/>
      <c r="S29" s="1"/>
      <c r="T29" s="1"/>
      <c r="U29" s="1"/>
      <c r="V29" s="1"/>
      <c r="W29" s="1"/>
      <c r="X29" s="1"/>
      <c r="Y29" s="1"/>
      <c r="Z29" s="1"/>
      <c r="AA29" s="1"/>
      <c r="AB29" s="1"/>
      <c r="AC29">
        <f t="shared" si="6"/>
        <v>221</v>
      </c>
      <c r="AD29">
        <f t="shared" si="7"/>
        <v>10</v>
      </c>
      <c r="AE29">
        <f t="shared" si="8"/>
        <v>2</v>
      </c>
      <c r="AF29">
        <f t="shared" si="9"/>
        <v>8</v>
      </c>
      <c r="AG29">
        <f t="shared" si="10"/>
        <v>27.625</v>
      </c>
    </row>
    <row r="30" spans="3:33">
      <c r="C30" t="s">
        <v>119</v>
      </c>
      <c r="D30" s="1">
        <v>0</v>
      </c>
      <c r="E30" s="1">
        <v>20</v>
      </c>
      <c r="F30" s="1">
        <v>0</v>
      </c>
      <c r="G30" s="1">
        <v>0</v>
      </c>
      <c r="H30" s="1">
        <v>21</v>
      </c>
      <c r="I30" s="1">
        <v>31</v>
      </c>
      <c r="J30" s="1">
        <v>23</v>
      </c>
      <c r="K30" s="1">
        <v>25</v>
      </c>
      <c r="L30" s="1">
        <v>0</v>
      </c>
      <c r="M30" s="1">
        <v>23</v>
      </c>
      <c r="N30" s="1">
        <v>20</v>
      </c>
      <c r="O30" s="1">
        <v>0</v>
      </c>
      <c r="P30" s="1">
        <v>21</v>
      </c>
      <c r="Q30" s="1">
        <v>26</v>
      </c>
      <c r="R30" s="1"/>
      <c r="S30" s="1"/>
      <c r="T30" s="1"/>
      <c r="U30" s="1"/>
      <c r="V30" s="1"/>
      <c r="W30" s="1"/>
      <c r="X30" s="1"/>
      <c r="Y30" s="1"/>
      <c r="Z30" s="1"/>
      <c r="AA30" s="1"/>
      <c r="AB30" s="1"/>
      <c r="AC30">
        <f t="shared" si="6"/>
        <v>210</v>
      </c>
      <c r="AD30">
        <f t="shared" si="7"/>
        <v>14</v>
      </c>
      <c r="AE30">
        <f t="shared" si="8"/>
        <v>5</v>
      </c>
      <c r="AF30">
        <f t="shared" si="9"/>
        <v>9</v>
      </c>
      <c r="AG30">
        <f t="shared" si="10"/>
        <v>23.333333333333332</v>
      </c>
    </row>
    <row r="31" spans="3:33">
      <c r="C31" t="s">
        <v>120</v>
      </c>
      <c r="D31" s="1">
        <v>0</v>
      </c>
      <c r="E31" s="1">
        <v>31</v>
      </c>
      <c r="F31" s="1">
        <v>24</v>
      </c>
      <c r="G31" s="1">
        <v>0</v>
      </c>
      <c r="H31" s="1">
        <v>20</v>
      </c>
      <c r="I31" s="1">
        <v>0</v>
      </c>
      <c r="J31" s="1">
        <v>0</v>
      </c>
      <c r="K31" s="1">
        <v>24</v>
      </c>
      <c r="L31" s="1">
        <v>0</v>
      </c>
      <c r="M31" s="1">
        <v>23</v>
      </c>
      <c r="N31" s="1">
        <v>25</v>
      </c>
      <c r="O31" s="1">
        <v>26</v>
      </c>
      <c r="P31" s="1">
        <v>24</v>
      </c>
      <c r="Q31" s="1">
        <v>24</v>
      </c>
      <c r="R31" s="1"/>
      <c r="S31" s="1"/>
      <c r="T31" s="1"/>
      <c r="U31" s="1"/>
      <c r="V31" s="1"/>
      <c r="W31" s="1"/>
      <c r="X31" s="1"/>
      <c r="Y31" s="1"/>
      <c r="Z31" s="1"/>
      <c r="AA31" s="1"/>
      <c r="AB31" s="1"/>
      <c r="AC31">
        <f t="shared" si="6"/>
        <v>221</v>
      </c>
      <c r="AD31">
        <f t="shared" si="7"/>
        <v>14</v>
      </c>
      <c r="AE31">
        <f t="shared" si="8"/>
        <v>5</v>
      </c>
      <c r="AF31">
        <f t="shared" si="9"/>
        <v>9</v>
      </c>
      <c r="AG31">
        <f t="shared" si="10"/>
        <v>24.555555555555557</v>
      </c>
    </row>
    <row r="32" spans="3:33">
      <c r="C32" t="s">
        <v>121</v>
      </c>
      <c r="D32" s="1">
        <v>21</v>
      </c>
      <c r="E32" s="1">
        <v>25</v>
      </c>
      <c r="F32" s="1">
        <v>0</v>
      </c>
      <c r="G32" s="1">
        <v>23</v>
      </c>
      <c r="H32" s="1">
        <v>29</v>
      </c>
      <c r="I32" s="1">
        <v>22</v>
      </c>
      <c r="J32" s="1">
        <v>29</v>
      </c>
      <c r="K32" s="1">
        <v>20</v>
      </c>
      <c r="L32" s="1">
        <v>24</v>
      </c>
      <c r="M32" s="1">
        <v>31</v>
      </c>
      <c r="N32" s="1"/>
      <c r="O32" s="1"/>
      <c r="P32" s="1"/>
      <c r="Q32" s="1"/>
      <c r="R32" s="1"/>
      <c r="S32" s="1"/>
      <c r="T32" s="1"/>
      <c r="U32" s="1"/>
      <c r="V32" s="1"/>
      <c r="W32" s="1"/>
      <c r="X32" s="1"/>
      <c r="Y32" s="1"/>
      <c r="Z32" s="1"/>
      <c r="AA32" s="1"/>
      <c r="AB32" s="1"/>
      <c r="AC32">
        <f t="shared" si="6"/>
        <v>224</v>
      </c>
      <c r="AD32">
        <f t="shared" si="7"/>
        <v>10</v>
      </c>
      <c r="AE32">
        <f t="shared" si="8"/>
        <v>1</v>
      </c>
      <c r="AF32">
        <f t="shared" si="9"/>
        <v>9</v>
      </c>
      <c r="AG32">
        <f t="shared" si="10"/>
        <v>24.888888888888889</v>
      </c>
    </row>
    <row r="33" spans="3:33">
      <c r="C33" t="s">
        <v>122</v>
      </c>
      <c r="D33" s="1">
        <v>21</v>
      </c>
      <c r="E33" s="1">
        <v>0</v>
      </c>
      <c r="F33" s="1">
        <v>22</v>
      </c>
      <c r="G33" s="1">
        <v>31</v>
      </c>
      <c r="H33" s="1">
        <v>25</v>
      </c>
      <c r="I33" s="1">
        <v>0</v>
      </c>
      <c r="J33" s="1">
        <v>0</v>
      </c>
      <c r="K33" s="1">
        <v>31</v>
      </c>
      <c r="L33" s="1">
        <v>25</v>
      </c>
      <c r="M33" s="1">
        <v>22</v>
      </c>
      <c r="N33" s="1">
        <v>20</v>
      </c>
      <c r="O33" s="1">
        <v>23</v>
      </c>
      <c r="P33" s="1"/>
      <c r="Q33" s="1"/>
      <c r="R33" s="1"/>
      <c r="S33" s="1"/>
      <c r="T33" s="1"/>
      <c r="U33" s="1"/>
      <c r="V33" s="1"/>
      <c r="W33" s="1"/>
      <c r="X33" s="1"/>
      <c r="Y33" s="1"/>
      <c r="Z33" s="1"/>
      <c r="AA33" s="1"/>
      <c r="AB33" s="1"/>
      <c r="AC33">
        <f t="shared" si="6"/>
        <v>220</v>
      </c>
      <c r="AD33">
        <f t="shared" si="7"/>
        <v>12</v>
      </c>
      <c r="AE33">
        <f t="shared" si="8"/>
        <v>3</v>
      </c>
      <c r="AF33">
        <f t="shared" si="9"/>
        <v>9</v>
      </c>
      <c r="AG33">
        <f t="shared" si="10"/>
        <v>24.444444444444443</v>
      </c>
    </row>
    <row r="34" spans="3:33">
      <c r="C34" t="s">
        <v>123</v>
      </c>
      <c r="D34" s="1">
        <v>28</v>
      </c>
      <c r="E34" s="1">
        <v>0</v>
      </c>
      <c r="F34" s="1">
        <v>23</v>
      </c>
      <c r="G34" s="1">
        <v>23</v>
      </c>
      <c r="H34" s="1">
        <v>23</v>
      </c>
      <c r="I34" s="1">
        <v>20</v>
      </c>
      <c r="J34" s="1">
        <v>25</v>
      </c>
      <c r="K34" s="1">
        <v>23</v>
      </c>
      <c r="L34" s="1">
        <v>20</v>
      </c>
      <c r="M34" s="1">
        <v>0</v>
      </c>
      <c r="N34" s="1">
        <v>31</v>
      </c>
      <c r="O34" s="1"/>
      <c r="P34" s="1"/>
      <c r="Q34" s="1"/>
      <c r="R34" s="1"/>
      <c r="S34" s="1"/>
      <c r="T34" s="1"/>
      <c r="U34" s="1"/>
      <c r="V34" s="1"/>
      <c r="W34" s="1"/>
      <c r="X34" s="1"/>
      <c r="Y34" s="1"/>
      <c r="Z34" s="1"/>
      <c r="AA34" s="1"/>
      <c r="AB34" s="1"/>
      <c r="AC34">
        <f t="shared" si="6"/>
        <v>216</v>
      </c>
      <c r="AD34">
        <f t="shared" si="7"/>
        <v>11</v>
      </c>
      <c r="AE34">
        <f t="shared" si="8"/>
        <v>2</v>
      </c>
      <c r="AF34">
        <f t="shared" si="9"/>
        <v>9</v>
      </c>
      <c r="AG34">
        <f t="shared" si="10"/>
        <v>24</v>
      </c>
    </row>
    <row r="35" spans="3:33">
      <c r="C35" t="s">
        <v>124</v>
      </c>
      <c r="D35" s="1">
        <v>27</v>
      </c>
      <c r="E35" s="1">
        <v>23</v>
      </c>
      <c r="F35" s="1">
        <v>30</v>
      </c>
      <c r="G35" s="1">
        <v>25</v>
      </c>
      <c r="H35" s="1">
        <v>21</v>
      </c>
      <c r="I35" s="1">
        <v>29</v>
      </c>
      <c r="J35" s="1">
        <v>21</v>
      </c>
      <c r="K35" s="1">
        <v>22</v>
      </c>
      <c r="L35" s="1">
        <v>31</v>
      </c>
      <c r="M35" s="1"/>
      <c r="N35" s="1"/>
      <c r="O35" s="1"/>
      <c r="P35" s="1"/>
      <c r="Q35" s="1"/>
      <c r="R35" s="1"/>
      <c r="S35" s="1"/>
      <c r="T35" s="1"/>
      <c r="U35" s="1"/>
      <c r="V35" s="1"/>
      <c r="W35" s="1"/>
      <c r="X35" s="1"/>
      <c r="Y35" s="1"/>
      <c r="Z35" s="1"/>
      <c r="AA35" s="1"/>
      <c r="AB35" s="1"/>
      <c r="AC35">
        <f t="shared" si="6"/>
        <v>229</v>
      </c>
      <c r="AD35">
        <f t="shared" si="7"/>
        <v>9</v>
      </c>
      <c r="AE35">
        <f t="shared" si="8"/>
        <v>0</v>
      </c>
      <c r="AF35">
        <f t="shared" si="9"/>
        <v>9</v>
      </c>
      <c r="AG35">
        <f t="shared" si="10"/>
        <v>25.444444444444443</v>
      </c>
    </row>
    <row r="36" spans="3:33">
      <c r="C36" t="s">
        <v>125</v>
      </c>
      <c r="D36" s="1">
        <v>21</v>
      </c>
      <c r="E36" s="1">
        <v>31</v>
      </c>
      <c r="F36" s="1">
        <v>23</v>
      </c>
      <c r="G36" s="1">
        <v>25</v>
      </c>
      <c r="H36" s="1">
        <v>0</v>
      </c>
      <c r="I36" s="1">
        <v>27</v>
      </c>
      <c r="J36" s="1">
        <v>23</v>
      </c>
      <c r="K36" s="1">
        <v>21</v>
      </c>
      <c r="L36" s="1">
        <v>23</v>
      </c>
      <c r="M36" s="1">
        <v>24</v>
      </c>
      <c r="N36" s="1"/>
      <c r="O36" s="1"/>
      <c r="P36" s="1"/>
      <c r="Q36" s="1"/>
      <c r="R36" s="1"/>
      <c r="S36" s="1"/>
      <c r="T36" s="1"/>
      <c r="U36" s="1"/>
      <c r="V36" s="1"/>
      <c r="W36" s="1"/>
      <c r="X36" s="1"/>
      <c r="Y36" s="1"/>
      <c r="Z36" s="1"/>
      <c r="AA36" s="1"/>
      <c r="AB36" s="1"/>
      <c r="AC36">
        <f t="shared" si="6"/>
        <v>218</v>
      </c>
      <c r="AD36">
        <f t="shared" si="7"/>
        <v>10</v>
      </c>
      <c r="AE36">
        <f t="shared" si="8"/>
        <v>1</v>
      </c>
      <c r="AF36">
        <f t="shared" si="9"/>
        <v>9</v>
      </c>
      <c r="AG36">
        <f t="shared" si="10"/>
        <v>24.222222222222221</v>
      </c>
    </row>
    <row r="37" spans="3:33">
      <c r="C37" t="s">
        <v>126</v>
      </c>
      <c r="D37" s="1">
        <v>21</v>
      </c>
      <c r="E37" s="1">
        <v>0</v>
      </c>
      <c r="F37" s="1">
        <v>0</v>
      </c>
      <c r="G37" s="1">
        <v>21</v>
      </c>
      <c r="H37" s="1">
        <v>0</v>
      </c>
      <c r="I37" s="1">
        <v>0</v>
      </c>
      <c r="J37" s="1">
        <v>0</v>
      </c>
      <c r="K37" s="1">
        <v>28</v>
      </c>
      <c r="L37" s="1">
        <v>21</v>
      </c>
      <c r="M37" s="1">
        <v>21</v>
      </c>
      <c r="N37" s="1">
        <v>20</v>
      </c>
      <c r="O37" s="1">
        <v>22</v>
      </c>
      <c r="P37" s="1">
        <v>25</v>
      </c>
      <c r="Q37" s="1">
        <v>24</v>
      </c>
      <c r="R37" s="1"/>
      <c r="S37" s="1"/>
      <c r="T37" s="1"/>
      <c r="U37" s="1"/>
      <c r="V37" s="1"/>
      <c r="W37" s="1"/>
      <c r="X37" s="1"/>
      <c r="Y37" s="1"/>
      <c r="Z37" s="1"/>
      <c r="AA37" s="1"/>
      <c r="AB37" s="1"/>
      <c r="AC37">
        <f t="shared" si="6"/>
        <v>203</v>
      </c>
      <c r="AD37">
        <f t="shared" si="7"/>
        <v>14</v>
      </c>
      <c r="AE37">
        <f t="shared" si="8"/>
        <v>5</v>
      </c>
      <c r="AF37">
        <f t="shared" si="9"/>
        <v>9</v>
      </c>
      <c r="AG37">
        <f t="shared" si="10"/>
        <v>22.555555555555557</v>
      </c>
    </row>
    <row r="38" spans="3:33">
      <c r="C38" t="s">
        <v>127</v>
      </c>
      <c r="D38" s="1">
        <v>24</v>
      </c>
      <c r="E38" s="1">
        <v>32</v>
      </c>
      <c r="F38" s="1">
        <v>20</v>
      </c>
      <c r="G38" s="1">
        <v>25</v>
      </c>
      <c r="H38" s="1">
        <v>26</v>
      </c>
      <c r="I38" s="1">
        <v>22</v>
      </c>
      <c r="J38" s="1">
        <v>0</v>
      </c>
      <c r="K38" s="1">
        <v>20</v>
      </c>
      <c r="L38" s="1">
        <v>0</v>
      </c>
      <c r="M38" s="1">
        <v>21</v>
      </c>
      <c r="N38" s="1">
        <v>0</v>
      </c>
      <c r="O38" s="1">
        <v>21</v>
      </c>
      <c r="P38" s="1"/>
      <c r="Q38" s="1"/>
      <c r="R38" s="1"/>
      <c r="S38" s="1"/>
      <c r="T38" s="1"/>
      <c r="U38" s="1"/>
      <c r="V38" s="1"/>
      <c r="W38" s="1"/>
      <c r="X38" s="1"/>
      <c r="Y38" s="1"/>
      <c r="Z38" s="1"/>
      <c r="AA38" s="1"/>
      <c r="AB38" s="1"/>
      <c r="AC38">
        <f t="shared" si="6"/>
        <v>211</v>
      </c>
      <c r="AD38">
        <f t="shared" si="7"/>
        <v>12</v>
      </c>
      <c r="AE38">
        <f t="shared" si="8"/>
        <v>3</v>
      </c>
      <c r="AF38">
        <f t="shared" si="9"/>
        <v>9</v>
      </c>
      <c r="AG38">
        <f t="shared" si="10"/>
        <v>23.444444444444443</v>
      </c>
    </row>
    <row r="39" spans="3:33">
      <c r="C39" t="s">
        <v>128</v>
      </c>
      <c r="D39" s="1">
        <v>25</v>
      </c>
      <c r="E39" s="1">
        <v>21</v>
      </c>
      <c r="F39" s="1">
        <v>26</v>
      </c>
      <c r="G39" s="1">
        <v>22</v>
      </c>
      <c r="H39" s="1">
        <v>0</v>
      </c>
      <c r="I39" s="1">
        <v>22</v>
      </c>
      <c r="J39" s="1">
        <v>22</v>
      </c>
      <c r="K39" s="1">
        <v>0</v>
      </c>
      <c r="L39" s="1">
        <v>0</v>
      </c>
      <c r="M39" s="1">
        <v>21</v>
      </c>
      <c r="N39" s="1">
        <v>26</v>
      </c>
      <c r="O39" s="1">
        <v>22</v>
      </c>
      <c r="P39" s="1"/>
      <c r="Q39" s="1"/>
      <c r="R39" s="1"/>
      <c r="S39" s="1"/>
      <c r="T39" s="1"/>
      <c r="U39" s="1"/>
      <c r="V39" s="1"/>
      <c r="W39" s="1"/>
      <c r="X39" s="1"/>
      <c r="Y39" s="1"/>
      <c r="Z39" s="1"/>
      <c r="AA39" s="1"/>
      <c r="AB39" s="1"/>
      <c r="AC39">
        <f t="shared" si="6"/>
        <v>207</v>
      </c>
      <c r="AD39">
        <f t="shared" si="7"/>
        <v>12</v>
      </c>
      <c r="AE39">
        <f t="shared" si="8"/>
        <v>3</v>
      </c>
      <c r="AF39">
        <f t="shared" si="9"/>
        <v>9</v>
      </c>
      <c r="AG39">
        <f t="shared" si="10"/>
        <v>23</v>
      </c>
    </row>
    <row r="40" spans="3:33">
      <c r="C40" t="s">
        <v>129</v>
      </c>
      <c r="D40" s="1">
        <v>0</v>
      </c>
      <c r="E40" s="1">
        <v>26</v>
      </c>
      <c r="F40" s="1">
        <v>22</v>
      </c>
      <c r="G40" s="1">
        <v>0</v>
      </c>
      <c r="H40" s="1">
        <v>26</v>
      </c>
      <c r="I40" s="1">
        <v>0</v>
      </c>
      <c r="J40" s="1">
        <v>23</v>
      </c>
      <c r="K40" s="1">
        <v>24</v>
      </c>
      <c r="L40" s="1">
        <v>0</v>
      </c>
      <c r="M40" s="1">
        <v>28</v>
      </c>
      <c r="N40" s="1">
        <v>20</v>
      </c>
      <c r="O40" s="1">
        <v>0</v>
      </c>
      <c r="P40" s="1">
        <v>0</v>
      </c>
      <c r="Q40" s="1">
        <v>27</v>
      </c>
      <c r="R40" s="1">
        <v>29</v>
      </c>
      <c r="S40" s="1"/>
      <c r="T40" s="1"/>
      <c r="U40" s="1"/>
      <c r="V40" s="1"/>
      <c r="W40" s="1"/>
      <c r="X40" s="1"/>
      <c r="Y40" s="1"/>
      <c r="Z40" s="1"/>
      <c r="AA40" s="1"/>
      <c r="AB40" s="1"/>
      <c r="AC40">
        <f t="shared" si="6"/>
        <v>225</v>
      </c>
      <c r="AD40">
        <f t="shared" si="7"/>
        <v>15</v>
      </c>
      <c r="AE40">
        <f t="shared" si="8"/>
        <v>6</v>
      </c>
      <c r="AF40">
        <f t="shared" si="9"/>
        <v>9</v>
      </c>
      <c r="AG40">
        <f t="shared" si="10"/>
        <v>25</v>
      </c>
    </row>
    <row r="41" spans="3:33">
      <c r="C41" t="s">
        <v>130</v>
      </c>
      <c r="D41" s="1">
        <v>25</v>
      </c>
      <c r="E41" s="1">
        <v>25</v>
      </c>
      <c r="F41" s="1">
        <v>23</v>
      </c>
      <c r="G41" s="1">
        <v>23</v>
      </c>
      <c r="H41" s="1">
        <v>22</v>
      </c>
      <c r="I41" s="1">
        <v>21</v>
      </c>
      <c r="J41" s="1">
        <v>27</v>
      </c>
      <c r="K41" s="1">
        <v>22</v>
      </c>
      <c r="L41" s="1">
        <v>21</v>
      </c>
      <c r="M41" s="1"/>
      <c r="N41" s="1"/>
      <c r="O41" s="1"/>
      <c r="P41" s="1"/>
      <c r="Q41" s="1"/>
      <c r="R41" s="1"/>
      <c r="S41" s="1"/>
      <c r="T41" s="1"/>
      <c r="U41" s="1"/>
      <c r="V41" s="1"/>
      <c r="W41" s="1"/>
      <c r="X41" s="1"/>
      <c r="Y41" s="1"/>
      <c r="Z41" s="1"/>
      <c r="AA41" s="1"/>
      <c r="AB41" s="1"/>
      <c r="AC41">
        <f t="shared" si="6"/>
        <v>209</v>
      </c>
      <c r="AD41">
        <f t="shared" si="7"/>
        <v>9</v>
      </c>
      <c r="AE41">
        <f t="shared" si="8"/>
        <v>0</v>
      </c>
      <c r="AF41">
        <f t="shared" si="9"/>
        <v>9</v>
      </c>
      <c r="AG41">
        <f t="shared" si="10"/>
        <v>23.222222222222221</v>
      </c>
    </row>
    <row r="42" spans="3:33">
      <c r="C42" t="s">
        <v>131</v>
      </c>
      <c r="D42" s="1">
        <v>23</v>
      </c>
      <c r="E42" s="1">
        <v>20</v>
      </c>
      <c r="F42" s="1">
        <v>0</v>
      </c>
      <c r="G42" s="1">
        <v>28</v>
      </c>
      <c r="H42" s="1">
        <v>25</v>
      </c>
      <c r="I42" s="1">
        <v>29</v>
      </c>
      <c r="J42" s="1">
        <v>23</v>
      </c>
      <c r="K42" s="1">
        <v>29</v>
      </c>
      <c r="L42" s="1">
        <v>28</v>
      </c>
      <c r="M42" s="1"/>
      <c r="N42" s="1"/>
      <c r="O42" s="1"/>
      <c r="P42" s="1"/>
      <c r="Q42" s="1"/>
      <c r="R42" s="1"/>
      <c r="S42" s="1"/>
      <c r="T42" s="1"/>
      <c r="U42" s="1"/>
      <c r="V42" s="1"/>
      <c r="W42" s="1"/>
      <c r="X42" s="1"/>
      <c r="Y42" s="1"/>
      <c r="Z42" s="1"/>
      <c r="AA42" s="1"/>
      <c r="AB42" s="1"/>
      <c r="AC42">
        <f t="shared" si="6"/>
        <v>205</v>
      </c>
      <c r="AD42">
        <f t="shared" si="7"/>
        <v>9</v>
      </c>
      <c r="AE42">
        <f t="shared" si="8"/>
        <v>1</v>
      </c>
      <c r="AF42">
        <f t="shared" si="9"/>
        <v>8</v>
      </c>
      <c r="AG42">
        <f t="shared" si="10"/>
        <v>25.625</v>
      </c>
    </row>
    <row r="43" spans="3:33">
      <c r="C43" t="s">
        <v>132</v>
      </c>
      <c r="D43" s="1">
        <v>23</v>
      </c>
      <c r="E43" s="1">
        <v>0</v>
      </c>
      <c r="F43" s="1">
        <v>22</v>
      </c>
      <c r="G43" s="1">
        <v>23</v>
      </c>
      <c r="H43" s="1">
        <v>24</v>
      </c>
      <c r="I43" s="1">
        <v>0</v>
      </c>
      <c r="J43" s="1">
        <v>30</v>
      </c>
      <c r="K43" s="1">
        <v>21</v>
      </c>
      <c r="L43" s="1">
        <v>21</v>
      </c>
      <c r="M43" s="1">
        <v>0</v>
      </c>
      <c r="N43" s="1">
        <v>26</v>
      </c>
      <c r="O43" s="1">
        <v>0</v>
      </c>
      <c r="P43" s="1">
        <v>24</v>
      </c>
      <c r="Q43" s="1"/>
      <c r="R43" s="1"/>
      <c r="S43" s="1"/>
      <c r="T43" s="1"/>
      <c r="U43" s="1"/>
      <c r="V43" s="1"/>
      <c r="W43" s="1"/>
      <c r="X43" s="1"/>
      <c r="Y43" s="1"/>
      <c r="Z43" s="1"/>
      <c r="AA43" s="1"/>
      <c r="AB43" s="1"/>
      <c r="AC43">
        <f t="shared" si="6"/>
        <v>214</v>
      </c>
      <c r="AD43">
        <f t="shared" si="7"/>
        <v>13</v>
      </c>
      <c r="AE43">
        <f t="shared" si="8"/>
        <v>4</v>
      </c>
      <c r="AF43">
        <f t="shared" si="9"/>
        <v>9</v>
      </c>
      <c r="AG43">
        <f t="shared" si="10"/>
        <v>23.777777777777779</v>
      </c>
    </row>
    <row r="44" spans="3:33">
      <c r="C44" t="s">
        <v>133</v>
      </c>
      <c r="D44" s="1">
        <v>22</v>
      </c>
      <c r="E44" s="1">
        <v>20</v>
      </c>
      <c r="F44" s="1">
        <v>20</v>
      </c>
      <c r="G44" s="1">
        <v>0</v>
      </c>
      <c r="H44" s="1">
        <v>27</v>
      </c>
      <c r="I44" s="1">
        <v>21</v>
      </c>
      <c r="J44" s="1">
        <v>22</v>
      </c>
      <c r="K44" s="1">
        <v>22</v>
      </c>
      <c r="L44" s="1">
        <v>28</v>
      </c>
      <c r="M44" s="1">
        <v>20</v>
      </c>
      <c r="N44" s="1"/>
      <c r="O44" s="1"/>
      <c r="P44" s="1"/>
      <c r="Q44" s="1"/>
      <c r="R44" s="1"/>
      <c r="S44" s="1"/>
      <c r="T44" s="1"/>
      <c r="U44" s="1"/>
      <c r="V44" s="1"/>
      <c r="W44" s="1"/>
      <c r="X44" s="1"/>
      <c r="Y44" s="1"/>
      <c r="Z44" s="1"/>
      <c r="AA44" s="1"/>
      <c r="AB44" s="1"/>
      <c r="AC44">
        <f t="shared" si="6"/>
        <v>202</v>
      </c>
      <c r="AD44">
        <f t="shared" si="7"/>
        <v>10</v>
      </c>
      <c r="AE44">
        <f t="shared" si="8"/>
        <v>1</v>
      </c>
      <c r="AF44">
        <f t="shared" si="9"/>
        <v>9</v>
      </c>
      <c r="AG44">
        <f t="shared" si="10"/>
        <v>22.444444444444443</v>
      </c>
    </row>
    <row r="45" spans="3:33">
      <c r="C45" t="s">
        <v>134</v>
      </c>
      <c r="D45" s="1">
        <v>21</v>
      </c>
      <c r="E45" s="1">
        <v>25</v>
      </c>
      <c r="F45" s="1">
        <v>0</v>
      </c>
      <c r="G45" s="1">
        <v>24</v>
      </c>
      <c r="H45" s="1">
        <v>26</v>
      </c>
      <c r="I45" s="1">
        <v>22</v>
      </c>
      <c r="J45" s="1">
        <v>23</v>
      </c>
      <c r="K45" s="1">
        <v>0</v>
      </c>
      <c r="L45" s="1">
        <v>25</v>
      </c>
      <c r="M45" s="1">
        <v>25</v>
      </c>
      <c r="N45" s="1">
        <v>24</v>
      </c>
      <c r="O45" s="1"/>
      <c r="P45" s="1"/>
      <c r="Q45" s="1"/>
      <c r="R45" s="1"/>
      <c r="S45" s="1"/>
      <c r="T45" s="1"/>
      <c r="U45" s="1"/>
      <c r="V45" s="1"/>
      <c r="W45" s="1"/>
      <c r="X45" s="1"/>
      <c r="Y45" s="1"/>
      <c r="Z45" s="1"/>
      <c r="AA45" s="1"/>
      <c r="AB45" s="1"/>
      <c r="AC45">
        <f t="shared" si="6"/>
        <v>215</v>
      </c>
      <c r="AD45">
        <f t="shared" si="7"/>
        <v>11</v>
      </c>
      <c r="AE45">
        <f t="shared" si="8"/>
        <v>2</v>
      </c>
      <c r="AF45">
        <f t="shared" si="9"/>
        <v>9</v>
      </c>
      <c r="AG45">
        <f t="shared" si="10"/>
        <v>23.888888888888889</v>
      </c>
    </row>
    <row r="46" spans="3:33">
      <c r="C46" t="s">
        <v>135</v>
      </c>
      <c r="D46" s="1">
        <v>23</v>
      </c>
      <c r="E46" s="1">
        <v>20</v>
      </c>
      <c r="F46" s="1">
        <v>25</v>
      </c>
      <c r="G46" s="1">
        <v>0</v>
      </c>
      <c r="H46" s="1">
        <v>21</v>
      </c>
      <c r="I46" s="1">
        <v>23</v>
      </c>
      <c r="J46" s="1">
        <v>20</v>
      </c>
      <c r="K46" s="1">
        <v>20</v>
      </c>
      <c r="L46" s="1">
        <v>22</v>
      </c>
      <c r="M46" s="1">
        <v>0</v>
      </c>
      <c r="N46" s="1">
        <v>27</v>
      </c>
      <c r="O46" s="1"/>
      <c r="P46" s="1"/>
      <c r="Q46" s="1"/>
      <c r="R46" s="1"/>
      <c r="S46" s="1"/>
      <c r="T46" s="1"/>
      <c r="U46" s="1"/>
      <c r="V46" s="1"/>
      <c r="W46" s="1"/>
      <c r="X46" s="1"/>
      <c r="Y46" s="1"/>
      <c r="Z46" s="1"/>
      <c r="AA46" s="1"/>
      <c r="AB46" s="1"/>
      <c r="AC46">
        <f t="shared" si="6"/>
        <v>201</v>
      </c>
      <c r="AD46">
        <f t="shared" si="7"/>
        <v>11</v>
      </c>
      <c r="AE46">
        <f t="shared" si="8"/>
        <v>2</v>
      </c>
      <c r="AF46">
        <f t="shared" si="9"/>
        <v>9</v>
      </c>
      <c r="AG46">
        <f t="shared" si="10"/>
        <v>22.333333333333332</v>
      </c>
    </row>
    <row r="47" spans="3:33">
      <c r="C47" t="s">
        <v>136</v>
      </c>
      <c r="D47" s="1">
        <v>0</v>
      </c>
      <c r="E47" s="1">
        <v>0</v>
      </c>
      <c r="F47" s="1">
        <v>25</v>
      </c>
      <c r="G47" s="1">
        <v>30</v>
      </c>
      <c r="H47" s="1">
        <v>23</v>
      </c>
      <c r="I47" s="1">
        <v>24</v>
      </c>
      <c r="J47" s="1">
        <v>21</v>
      </c>
      <c r="K47" s="1">
        <v>29</v>
      </c>
      <c r="L47" s="1">
        <v>21</v>
      </c>
      <c r="M47" s="1">
        <v>27</v>
      </c>
      <c r="N47" s="1"/>
      <c r="O47" s="1"/>
      <c r="P47" s="1"/>
      <c r="Q47" s="1"/>
      <c r="R47" s="1"/>
      <c r="S47" s="1"/>
      <c r="T47" s="1"/>
      <c r="U47" s="1"/>
      <c r="V47" s="1"/>
      <c r="W47" s="1"/>
      <c r="X47" s="1"/>
      <c r="Y47" s="1"/>
      <c r="Z47" s="1"/>
      <c r="AA47" s="1"/>
      <c r="AB47" s="1"/>
      <c r="AC47">
        <f t="shared" si="6"/>
        <v>200</v>
      </c>
      <c r="AD47">
        <f t="shared" si="7"/>
        <v>10</v>
      </c>
      <c r="AE47">
        <f t="shared" si="8"/>
        <v>2</v>
      </c>
      <c r="AF47">
        <f t="shared" si="9"/>
        <v>8</v>
      </c>
      <c r="AG47">
        <f t="shared" si="10"/>
        <v>25</v>
      </c>
    </row>
    <row r="48" spans="3:33">
      <c r="C48" t="s">
        <v>137</v>
      </c>
      <c r="D48" s="1">
        <v>27</v>
      </c>
      <c r="E48" s="1">
        <v>21</v>
      </c>
      <c r="F48" s="1">
        <v>23</v>
      </c>
      <c r="G48" s="1">
        <v>26</v>
      </c>
      <c r="H48" s="1">
        <v>22</v>
      </c>
      <c r="I48" s="1">
        <v>23</v>
      </c>
      <c r="J48" s="1">
        <v>22</v>
      </c>
      <c r="K48" s="1">
        <v>20</v>
      </c>
      <c r="L48" s="1">
        <v>25</v>
      </c>
      <c r="M48" s="1"/>
      <c r="N48" s="1"/>
      <c r="O48" s="1"/>
      <c r="P48" s="1"/>
      <c r="Q48" s="1"/>
      <c r="R48" s="1"/>
      <c r="S48" s="1"/>
      <c r="T48" s="1"/>
      <c r="U48" s="1"/>
      <c r="V48" s="1"/>
      <c r="W48" s="1"/>
      <c r="X48" s="1"/>
      <c r="Y48" s="1"/>
      <c r="Z48" s="1"/>
      <c r="AA48" s="1"/>
      <c r="AB48" s="1"/>
      <c r="AC48">
        <f t="shared" ref="AC48:AC79" si="11">SUM(D48:AB48)</f>
        <v>209</v>
      </c>
      <c r="AD48">
        <f t="shared" ref="AD48:AD79" si="12">COUNT(D48:AB48)</f>
        <v>9</v>
      </c>
      <c r="AE48">
        <f t="shared" ref="AE48:AE79" si="13">COUNTIF(D48:AB48,0)</f>
        <v>0</v>
      </c>
      <c r="AF48">
        <f t="shared" si="9"/>
        <v>9</v>
      </c>
      <c r="AG48">
        <f t="shared" si="10"/>
        <v>23.222222222222221</v>
      </c>
    </row>
    <row r="49" spans="3:33">
      <c r="C49" t="s">
        <v>138</v>
      </c>
      <c r="D49" s="1">
        <v>23</v>
      </c>
      <c r="E49" s="1">
        <v>20</v>
      </c>
      <c r="F49" s="1">
        <v>22</v>
      </c>
      <c r="G49" s="1">
        <v>30</v>
      </c>
      <c r="H49" s="1">
        <v>0</v>
      </c>
      <c r="I49" s="1">
        <v>21</v>
      </c>
      <c r="J49" s="1">
        <v>21</v>
      </c>
      <c r="K49" s="1">
        <v>22</v>
      </c>
      <c r="L49" s="1">
        <v>0</v>
      </c>
      <c r="M49" s="1">
        <v>30</v>
      </c>
      <c r="N49" s="1">
        <v>25</v>
      </c>
      <c r="O49" s="1"/>
      <c r="P49" s="1"/>
      <c r="Q49" s="1"/>
      <c r="R49" s="1"/>
      <c r="S49" s="1"/>
      <c r="T49" s="1"/>
      <c r="U49" s="1"/>
      <c r="V49" s="1"/>
      <c r="W49" s="1"/>
      <c r="X49" s="1"/>
      <c r="Y49" s="1"/>
      <c r="Z49" s="1"/>
      <c r="AA49" s="1"/>
      <c r="AB49" s="1"/>
      <c r="AC49">
        <f t="shared" si="11"/>
        <v>214</v>
      </c>
      <c r="AD49">
        <f t="shared" si="12"/>
        <v>11</v>
      </c>
      <c r="AE49">
        <f t="shared" si="13"/>
        <v>2</v>
      </c>
      <c r="AF49">
        <f t="shared" si="9"/>
        <v>9</v>
      </c>
      <c r="AG49">
        <f t="shared" si="10"/>
        <v>23.777777777777779</v>
      </c>
    </row>
    <row r="50" spans="3:33">
      <c r="C50" t="s">
        <v>139</v>
      </c>
      <c r="D50" s="1">
        <v>32</v>
      </c>
      <c r="E50" s="1">
        <v>0</v>
      </c>
      <c r="F50" s="1">
        <v>22</v>
      </c>
      <c r="G50" s="1">
        <v>24</v>
      </c>
      <c r="H50" s="1">
        <v>25</v>
      </c>
      <c r="I50" s="1">
        <v>30</v>
      </c>
      <c r="J50" s="1">
        <v>0</v>
      </c>
      <c r="K50" s="1">
        <v>20</v>
      </c>
      <c r="L50" s="1">
        <v>0</v>
      </c>
      <c r="M50" s="1">
        <v>0</v>
      </c>
      <c r="N50" s="1">
        <v>32</v>
      </c>
      <c r="O50" s="1">
        <v>25</v>
      </c>
      <c r="P50" s="1"/>
      <c r="Q50" s="1"/>
      <c r="R50" s="1"/>
      <c r="S50" s="1"/>
      <c r="T50" s="1"/>
      <c r="U50" s="1"/>
      <c r="V50" s="1"/>
      <c r="W50" s="1"/>
      <c r="X50" s="1"/>
      <c r="Y50" s="1"/>
      <c r="Z50" s="1"/>
      <c r="AA50" s="1"/>
      <c r="AB50" s="1"/>
      <c r="AC50">
        <f t="shared" si="11"/>
        <v>210</v>
      </c>
      <c r="AD50">
        <f t="shared" si="12"/>
        <v>12</v>
      </c>
      <c r="AE50">
        <f t="shared" si="13"/>
        <v>4</v>
      </c>
      <c r="AF50">
        <f t="shared" si="9"/>
        <v>8</v>
      </c>
      <c r="AG50">
        <f t="shared" si="10"/>
        <v>26.25</v>
      </c>
    </row>
    <row r="51" spans="3:33">
      <c r="C51" t="s">
        <v>140</v>
      </c>
      <c r="D51" s="1">
        <v>21</v>
      </c>
      <c r="E51" s="1">
        <v>0</v>
      </c>
      <c r="F51" s="1">
        <v>0</v>
      </c>
      <c r="G51" s="1">
        <v>24</v>
      </c>
      <c r="H51" s="1">
        <v>0</v>
      </c>
      <c r="I51" s="1">
        <v>20</v>
      </c>
      <c r="J51" s="1">
        <v>21</v>
      </c>
      <c r="K51" s="1">
        <v>25</v>
      </c>
      <c r="L51" s="1">
        <v>20</v>
      </c>
      <c r="M51" s="1">
        <v>29</v>
      </c>
      <c r="N51" s="1">
        <v>0</v>
      </c>
      <c r="O51" s="1">
        <v>0</v>
      </c>
      <c r="P51" s="1">
        <v>25</v>
      </c>
      <c r="Q51" s="1">
        <v>26</v>
      </c>
      <c r="R51" s="1"/>
      <c r="S51" s="1"/>
      <c r="T51" s="1"/>
      <c r="U51" s="1"/>
      <c r="V51" s="1"/>
      <c r="W51" s="1"/>
      <c r="X51" s="1"/>
      <c r="Y51" s="1"/>
      <c r="Z51" s="1"/>
      <c r="AA51" s="1"/>
      <c r="AB51" s="1"/>
      <c r="AC51">
        <f t="shared" si="11"/>
        <v>211</v>
      </c>
      <c r="AD51">
        <f t="shared" si="12"/>
        <v>14</v>
      </c>
      <c r="AE51">
        <f t="shared" si="13"/>
        <v>5</v>
      </c>
      <c r="AF51">
        <f t="shared" si="9"/>
        <v>9</v>
      </c>
      <c r="AG51">
        <f t="shared" si="10"/>
        <v>23.444444444444443</v>
      </c>
    </row>
    <row r="52" spans="3:33">
      <c r="C52" t="s">
        <v>141</v>
      </c>
      <c r="D52" s="1">
        <v>0</v>
      </c>
      <c r="E52" s="1">
        <v>26</v>
      </c>
      <c r="F52" s="1">
        <v>0</v>
      </c>
      <c r="G52" s="1">
        <v>23</v>
      </c>
      <c r="H52" s="1">
        <v>23</v>
      </c>
      <c r="I52" s="1">
        <v>28</v>
      </c>
      <c r="J52" s="1">
        <v>23</v>
      </c>
      <c r="K52" s="1">
        <v>20</v>
      </c>
      <c r="L52" s="1">
        <v>26</v>
      </c>
      <c r="M52" s="1">
        <v>28</v>
      </c>
      <c r="N52" s="1">
        <v>24</v>
      </c>
      <c r="O52" s="1"/>
      <c r="P52" s="1"/>
      <c r="Q52" s="1"/>
      <c r="R52" s="1"/>
      <c r="S52" s="1"/>
      <c r="T52" s="1"/>
      <c r="U52" s="1"/>
      <c r="V52" s="1"/>
      <c r="W52" s="1"/>
      <c r="X52" s="1"/>
      <c r="Y52" s="1"/>
      <c r="Z52" s="1"/>
      <c r="AA52" s="1"/>
      <c r="AB52" s="1"/>
      <c r="AC52">
        <f t="shared" si="11"/>
        <v>221</v>
      </c>
      <c r="AD52">
        <f t="shared" si="12"/>
        <v>11</v>
      </c>
      <c r="AE52">
        <f t="shared" si="13"/>
        <v>2</v>
      </c>
      <c r="AF52">
        <f t="shared" si="9"/>
        <v>9</v>
      </c>
      <c r="AG52">
        <f t="shared" si="10"/>
        <v>24.555555555555557</v>
      </c>
    </row>
    <row r="53" spans="3:33">
      <c r="C53" t="s">
        <v>142</v>
      </c>
      <c r="D53" s="1">
        <v>0</v>
      </c>
      <c r="E53" s="1">
        <v>24</v>
      </c>
      <c r="F53" s="1">
        <v>24</v>
      </c>
      <c r="G53" s="1">
        <v>22</v>
      </c>
      <c r="H53" s="1">
        <v>22</v>
      </c>
      <c r="I53" s="1">
        <v>0</v>
      </c>
      <c r="J53" s="1">
        <v>27</v>
      </c>
      <c r="K53" s="1">
        <v>20</v>
      </c>
      <c r="L53" s="1">
        <v>0</v>
      </c>
      <c r="M53" s="1">
        <v>31</v>
      </c>
      <c r="N53" s="1">
        <v>0</v>
      </c>
      <c r="O53" s="1">
        <v>0</v>
      </c>
      <c r="P53" s="1">
        <v>25</v>
      </c>
      <c r="Q53" s="1">
        <v>23</v>
      </c>
      <c r="R53" s="1"/>
      <c r="S53" s="1"/>
      <c r="T53" s="1"/>
      <c r="U53" s="1"/>
      <c r="V53" s="1"/>
      <c r="W53" s="1"/>
      <c r="X53" s="1"/>
      <c r="Y53" s="1"/>
      <c r="Z53" s="1"/>
      <c r="AA53" s="1"/>
      <c r="AB53" s="1"/>
      <c r="AC53">
        <f t="shared" si="11"/>
        <v>218</v>
      </c>
      <c r="AD53">
        <f t="shared" si="12"/>
        <v>14</v>
      </c>
      <c r="AE53">
        <f t="shared" si="13"/>
        <v>5</v>
      </c>
      <c r="AF53">
        <f t="shared" si="9"/>
        <v>9</v>
      </c>
      <c r="AG53">
        <f t="shared" si="10"/>
        <v>24.222222222222221</v>
      </c>
    </row>
    <row r="54" spans="3:33">
      <c r="C54" t="s">
        <v>143</v>
      </c>
      <c r="D54" s="1">
        <v>22</v>
      </c>
      <c r="E54" s="1">
        <v>21</v>
      </c>
      <c r="F54" s="1">
        <v>31</v>
      </c>
      <c r="G54" s="1">
        <v>0</v>
      </c>
      <c r="H54" s="1">
        <v>25</v>
      </c>
      <c r="I54" s="1">
        <v>23</v>
      </c>
      <c r="J54" s="1">
        <v>23</v>
      </c>
      <c r="K54" s="1">
        <v>21</v>
      </c>
      <c r="L54" s="1">
        <v>22</v>
      </c>
      <c r="M54" s="1">
        <v>0</v>
      </c>
      <c r="N54" s="1">
        <v>29</v>
      </c>
      <c r="O54" s="1"/>
      <c r="P54" s="1"/>
      <c r="Q54" s="1"/>
      <c r="R54" s="1"/>
      <c r="S54" s="1"/>
      <c r="T54" s="1"/>
      <c r="U54" s="1"/>
      <c r="V54" s="1"/>
      <c r="W54" s="1"/>
      <c r="X54" s="1"/>
      <c r="Y54" s="1"/>
      <c r="Z54" s="1"/>
      <c r="AA54" s="1"/>
      <c r="AB54" s="1"/>
      <c r="AC54">
        <f t="shared" si="11"/>
        <v>217</v>
      </c>
      <c r="AD54">
        <f t="shared" si="12"/>
        <v>11</v>
      </c>
      <c r="AE54">
        <f t="shared" si="13"/>
        <v>2</v>
      </c>
      <c r="AF54">
        <f t="shared" si="9"/>
        <v>9</v>
      </c>
      <c r="AG54">
        <f t="shared" si="10"/>
        <v>24.111111111111111</v>
      </c>
    </row>
    <row r="55" spans="3:33">
      <c r="C55" t="s">
        <v>144</v>
      </c>
      <c r="D55" s="1">
        <v>25</v>
      </c>
      <c r="E55" s="1">
        <v>23</v>
      </c>
      <c r="F55" s="1">
        <v>21</v>
      </c>
      <c r="G55" s="1">
        <v>0</v>
      </c>
      <c r="H55" s="1">
        <v>20</v>
      </c>
      <c r="I55" s="1">
        <v>21</v>
      </c>
      <c r="J55" s="1">
        <v>20</v>
      </c>
      <c r="K55" s="1">
        <v>22</v>
      </c>
      <c r="L55" s="1">
        <v>20</v>
      </c>
      <c r="M55" s="1">
        <v>0</v>
      </c>
      <c r="N55" s="1">
        <v>22</v>
      </c>
      <c r="O55" s="1">
        <v>20</v>
      </c>
      <c r="P55" s="1"/>
      <c r="Q55" s="1"/>
      <c r="R55" s="1"/>
      <c r="S55" s="1"/>
      <c r="T55" s="1"/>
      <c r="U55" s="1"/>
      <c r="V55" s="1"/>
      <c r="W55" s="1"/>
      <c r="X55" s="1"/>
      <c r="Y55" s="1"/>
      <c r="Z55" s="1"/>
      <c r="AA55" s="1"/>
      <c r="AB55" s="1"/>
      <c r="AC55">
        <f t="shared" si="11"/>
        <v>214</v>
      </c>
      <c r="AD55">
        <f t="shared" si="12"/>
        <v>12</v>
      </c>
      <c r="AE55">
        <f t="shared" si="13"/>
        <v>2</v>
      </c>
      <c r="AF55">
        <f t="shared" si="9"/>
        <v>10</v>
      </c>
      <c r="AG55">
        <f t="shared" si="10"/>
        <v>21.4</v>
      </c>
    </row>
    <row r="56" spans="3:33">
      <c r="C56" t="s">
        <v>145</v>
      </c>
      <c r="D56" s="1">
        <v>23</v>
      </c>
      <c r="E56" s="1">
        <v>0</v>
      </c>
      <c r="F56" s="1">
        <v>0</v>
      </c>
      <c r="G56" s="1">
        <v>32</v>
      </c>
      <c r="H56" s="1">
        <v>22</v>
      </c>
      <c r="I56" s="1">
        <v>0</v>
      </c>
      <c r="J56" s="1">
        <v>23</v>
      </c>
      <c r="K56" s="1">
        <v>0</v>
      </c>
      <c r="L56" s="1">
        <v>21</v>
      </c>
      <c r="M56" s="1">
        <v>0</v>
      </c>
      <c r="N56" s="1">
        <v>20</v>
      </c>
      <c r="O56" s="1">
        <v>28</v>
      </c>
      <c r="P56" s="1">
        <v>23</v>
      </c>
      <c r="Q56" s="1">
        <v>32</v>
      </c>
      <c r="R56" s="1"/>
      <c r="S56" s="1"/>
      <c r="T56" s="1"/>
      <c r="U56" s="1"/>
      <c r="V56" s="1"/>
      <c r="W56" s="1"/>
      <c r="X56" s="1"/>
      <c r="Y56" s="1"/>
      <c r="Z56" s="1"/>
      <c r="AA56" s="1"/>
      <c r="AB56" s="1"/>
      <c r="AC56">
        <f t="shared" si="11"/>
        <v>224</v>
      </c>
      <c r="AD56">
        <f t="shared" si="12"/>
        <v>14</v>
      </c>
      <c r="AE56">
        <f t="shared" si="13"/>
        <v>5</v>
      </c>
      <c r="AF56">
        <f t="shared" si="9"/>
        <v>9</v>
      </c>
      <c r="AG56">
        <f t="shared" si="10"/>
        <v>24.888888888888889</v>
      </c>
    </row>
    <row r="57" spans="3:33">
      <c r="C57" t="s">
        <v>146</v>
      </c>
      <c r="D57" s="1">
        <v>0</v>
      </c>
      <c r="E57" s="1">
        <v>20</v>
      </c>
      <c r="F57" s="1">
        <v>0</v>
      </c>
      <c r="G57" s="1">
        <v>24</v>
      </c>
      <c r="H57" s="1">
        <v>23</v>
      </c>
      <c r="I57" s="1">
        <v>30</v>
      </c>
      <c r="J57" s="1">
        <v>21</v>
      </c>
      <c r="K57" s="1">
        <v>20</v>
      </c>
      <c r="L57" s="1">
        <v>22</v>
      </c>
      <c r="M57" s="1">
        <v>22</v>
      </c>
      <c r="N57" s="1">
        <v>24</v>
      </c>
      <c r="O57" s="1"/>
      <c r="P57" s="1"/>
      <c r="Q57" s="1"/>
      <c r="R57" s="1"/>
      <c r="S57" s="1"/>
      <c r="T57" s="1"/>
      <c r="U57" s="1"/>
      <c r="V57" s="1"/>
      <c r="W57" s="1"/>
      <c r="X57" s="1"/>
      <c r="Y57" s="1"/>
      <c r="Z57" s="1"/>
      <c r="AA57" s="1"/>
      <c r="AB57" s="1"/>
      <c r="AC57">
        <f t="shared" si="11"/>
        <v>206</v>
      </c>
      <c r="AD57">
        <f t="shared" si="12"/>
        <v>11</v>
      </c>
      <c r="AE57">
        <f t="shared" si="13"/>
        <v>2</v>
      </c>
      <c r="AF57">
        <f t="shared" si="9"/>
        <v>9</v>
      </c>
      <c r="AG57">
        <f t="shared" si="10"/>
        <v>22.888888888888889</v>
      </c>
    </row>
    <row r="58" spans="3:33">
      <c r="C58" t="s">
        <v>147</v>
      </c>
      <c r="D58" s="1">
        <v>30</v>
      </c>
      <c r="E58" s="1">
        <v>24</v>
      </c>
      <c r="F58" s="1">
        <v>0</v>
      </c>
      <c r="G58" s="1">
        <v>23</v>
      </c>
      <c r="H58" s="1">
        <v>0</v>
      </c>
      <c r="I58" s="1">
        <v>22</v>
      </c>
      <c r="J58" s="1">
        <v>20</v>
      </c>
      <c r="K58" s="1">
        <v>21</v>
      </c>
      <c r="L58" s="1">
        <v>20</v>
      </c>
      <c r="M58" s="1">
        <v>25</v>
      </c>
      <c r="N58" s="1">
        <v>20</v>
      </c>
      <c r="O58" s="1"/>
      <c r="P58" s="1"/>
      <c r="Q58" s="1"/>
      <c r="R58" s="1"/>
      <c r="S58" s="1"/>
      <c r="T58" s="1"/>
      <c r="U58" s="1"/>
      <c r="V58" s="1"/>
      <c r="W58" s="1"/>
      <c r="X58" s="1"/>
      <c r="Y58" s="1"/>
      <c r="Z58" s="1"/>
      <c r="AA58" s="1"/>
      <c r="AB58" s="1"/>
      <c r="AC58">
        <f t="shared" si="11"/>
        <v>205</v>
      </c>
      <c r="AD58">
        <f t="shared" si="12"/>
        <v>11</v>
      </c>
      <c r="AE58">
        <f t="shared" si="13"/>
        <v>2</v>
      </c>
      <c r="AF58">
        <f t="shared" si="9"/>
        <v>9</v>
      </c>
      <c r="AG58">
        <f t="shared" si="10"/>
        <v>22.777777777777779</v>
      </c>
    </row>
    <row r="59" spans="3:33">
      <c r="C59" t="s">
        <v>148</v>
      </c>
      <c r="D59" s="1">
        <v>24</v>
      </c>
      <c r="E59" s="1">
        <v>23</v>
      </c>
      <c r="F59" s="1">
        <v>26</v>
      </c>
      <c r="G59" s="1">
        <v>27</v>
      </c>
      <c r="H59" s="1">
        <v>20</v>
      </c>
      <c r="I59" s="1">
        <v>20</v>
      </c>
      <c r="J59" s="1">
        <v>58</v>
      </c>
      <c r="K59" s="1">
        <v>20</v>
      </c>
      <c r="L59" s="1"/>
      <c r="M59" s="1"/>
      <c r="N59" s="1"/>
      <c r="O59" s="1"/>
      <c r="P59" s="1"/>
      <c r="Q59" s="1"/>
      <c r="R59" s="1"/>
      <c r="S59" s="1"/>
      <c r="T59" s="1"/>
      <c r="U59" s="1"/>
      <c r="V59" s="1"/>
      <c r="W59" s="1"/>
      <c r="X59" s="1"/>
      <c r="Y59" s="1"/>
      <c r="Z59" s="1"/>
      <c r="AA59" s="1"/>
      <c r="AB59" s="1"/>
      <c r="AC59">
        <f t="shared" si="11"/>
        <v>218</v>
      </c>
      <c r="AD59">
        <f t="shared" si="12"/>
        <v>8</v>
      </c>
      <c r="AE59">
        <f t="shared" si="13"/>
        <v>0</v>
      </c>
      <c r="AF59">
        <f t="shared" si="9"/>
        <v>8</v>
      </c>
      <c r="AG59">
        <f t="shared" si="10"/>
        <v>27.25</v>
      </c>
    </row>
    <row r="60" spans="3:33">
      <c r="C60" t="s">
        <v>149</v>
      </c>
      <c r="D60" s="1">
        <v>24</v>
      </c>
      <c r="E60" s="1">
        <v>26</v>
      </c>
      <c r="F60" s="1">
        <v>21</v>
      </c>
      <c r="G60" s="1">
        <v>27</v>
      </c>
      <c r="H60" s="1">
        <v>20</v>
      </c>
      <c r="I60" s="1">
        <v>29</v>
      </c>
      <c r="J60" s="1">
        <v>21</v>
      </c>
      <c r="K60" s="1">
        <v>25</v>
      </c>
      <c r="L60" s="1">
        <v>24</v>
      </c>
      <c r="M60" s="1"/>
      <c r="N60" s="1"/>
      <c r="O60" s="1"/>
      <c r="P60" s="1"/>
      <c r="Q60" s="1"/>
      <c r="R60" s="1"/>
      <c r="S60" s="1"/>
      <c r="T60" s="1"/>
      <c r="U60" s="1"/>
      <c r="V60" s="1"/>
      <c r="W60" s="1"/>
      <c r="X60" s="1"/>
      <c r="Y60" s="1"/>
      <c r="Z60" s="1"/>
      <c r="AA60" s="1"/>
      <c r="AB60" s="1"/>
      <c r="AC60">
        <f t="shared" si="11"/>
        <v>217</v>
      </c>
      <c r="AD60">
        <f t="shared" si="12"/>
        <v>9</v>
      </c>
      <c r="AE60">
        <f t="shared" si="13"/>
        <v>0</v>
      </c>
      <c r="AF60">
        <f t="shared" si="9"/>
        <v>9</v>
      </c>
      <c r="AG60">
        <f t="shared" si="10"/>
        <v>24.111111111111111</v>
      </c>
    </row>
    <row r="61" spans="3:33">
      <c r="C61" t="s">
        <v>150</v>
      </c>
      <c r="D61" s="1">
        <v>21</v>
      </c>
      <c r="E61" s="1">
        <v>0</v>
      </c>
      <c r="F61" s="1">
        <v>26</v>
      </c>
      <c r="G61" s="1">
        <v>27</v>
      </c>
      <c r="H61" s="1">
        <v>27</v>
      </c>
      <c r="I61" s="1">
        <v>29</v>
      </c>
      <c r="J61" s="1">
        <v>20</v>
      </c>
      <c r="K61" s="1">
        <v>22</v>
      </c>
      <c r="L61" s="1">
        <v>23</v>
      </c>
      <c r="M61" s="1">
        <v>26</v>
      </c>
      <c r="N61" s="1"/>
      <c r="O61" s="1"/>
      <c r="P61" s="1"/>
      <c r="Q61" s="1"/>
      <c r="R61" s="1"/>
      <c r="S61" s="1"/>
      <c r="T61" s="1"/>
      <c r="U61" s="1"/>
      <c r="V61" s="1"/>
      <c r="W61" s="1"/>
      <c r="X61" s="1"/>
      <c r="Y61" s="1"/>
      <c r="Z61" s="1"/>
      <c r="AA61" s="1"/>
      <c r="AB61" s="1"/>
      <c r="AC61">
        <f t="shared" si="11"/>
        <v>221</v>
      </c>
      <c r="AD61">
        <f t="shared" si="12"/>
        <v>10</v>
      </c>
      <c r="AE61">
        <f t="shared" si="13"/>
        <v>1</v>
      </c>
      <c r="AF61">
        <f t="shared" si="9"/>
        <v>9</v>
      </c>
      <c r="AG61">
        <f t="shared" si="10"/>
        <v>24.555555555555557</v>
      </c>
    </row>
    <row r="62" spans="3:33">
      <c r="C62" t="s">
        <v>151</v>
      </c>
      <c r="D62" s="1">
        <v>59</v>
      </c>
      <c r="E62" s="1">
        <v>0</v>
      </c>
      <c r="F62" s="1">
        <v>21</v>
      </c>
      <c r="G62" s="1">
        <v>23</v>
      </c>
      <c r="H62" s="1">
        <v>0</v>
      </c>
      <c r="I62" s="1">
        <v>21</v>
      </c>
      <c r="J62" s="1">
        <v>21</v>
      </c>
      <c r="K62" s="1">
        <v>22</v>
      </c>
      <c r="L62" s="1">
        <v>23</v>
      </c>
      <c r="M62" s="1">
        <v>24</v>
      </c>
      <c r="N62" s="1"/>
      <c r="O62" s="1"/>
      <c r="P62" s="1"/>
      <c r="Q62" s="1"/>
      <c r="R62" s="1"/>
      <c r="S62" s="1"/>
      <c r="T62" s="1"/>
      <c r="U62" s="1"/>
      <c r="V62" s="1"/>
      <c r="W62" s="1"/>
      <c r="X62" s="1"/>
      <c r="Y62" s="1"/>
      <c r="Z62" s="1"/>
      <c r="AA62" s="1"/>
      <c r="AB62" s="1"/>
      <c r="AC62">
        <f t="shared" si="11"/>
        <v>214</v>
      </c>
      <c r="AD62">
        <f t="shared" si="12"/>
        <v>10</v>
      </c>
      <c r="AE62">
        <f t="shared" si="13"/>
        <v>2</v>
      </c>
      <c r="AF62">
        <f t="shared" si="9"/>
        <v>8</v>
      </c>
      <c r="AG62">
        <f t="shared" si="10"/>
        <v>26.75</v>
      </c>
    </row>
    <row r="63" spans="3:33">
      <c r="C63" t="s">
        <v>152</v>
      </c>
      <c r="D63" s="1">
        <v>0</v>
      </c>
      <c r="E63" s="1">
        <v>23</v>
      </c>
      <c r="F63" s="1">
        <v>0</v>
      </c>
      <c r="G63" s="1">
        <v>0</v>
      </c>
      <c r="H63" s="1">
        <v>23</v>
      </c>
      <c r="I63" s="1">
        <v>29</v>
      </c>
      <c r="J63" s="1">
        <v>0</v>
      </c>
      <c r="K63" s="1">
        <v>32</v>
      </c>
      <c r="L63" s="1">
        <v>23</v>
      </c>
      <c r="M63" s="1">
        <v>0</v>
      </c>
      <c r="N63" s="1">
        <v>25</v>
      </c>
      <c r="O63" s="1">
        <v>20</v>
      </c>
      <c r="P63" s="1">
        <v>23</v>
      </c>
      <c r="Q63" s="1">
        <v>24</v>
      </c>
      <c r="R63" s="1"/>
      <c r="S63" s="1"/>
      <c r="T63" s="1"/>
      <c r="U63" s="1"/>
      <c r="V63" s="1"/>
      <c r="W63" s="1"/>
      <c r="X63" s="1"/>
      <c r="Y63" s="1"/>
      <c r="Z63" s="1"/>
      <c r="AA63" s="1"/>
      <c r="AB63" s="1"/>
      <c r="AC63">
        <f t="shared" si="11"/>
        <v>222</v>
      </c>
      <c r="AD63">
        <f t="shared" si="12"/>
        <v>14</v>
      </c>
      <c r="AE63">
        <f t="shared" si="13"/>
        <v>5</v>
      </c>
      <c r="AF63">
        <f t="shared" si="9"/>
        <v>9</v>
      </c>
      <c r="AG63">
        <f t="shared" si="10"/>
        <v>24.666666666666668</v>
      </c>
    </row>
    <row r="64" spans="3:33">
      <c r="C64" t="s">
        <v>153</v>
      </c>
      <c r="D64" s="1">
        <v>26</v>
      </c>
      <c r="E64" s="1">
        <v>0</v>
      </c>
      <c r="F64" s="1">
        <v>20</v>
      </c>
      <c r="G64" s="1">
        <v>23</v>
      </c>
      <c r="H64" s="1">
        <v>20</v>
      </c>
      <c r="I64" s="1">
        <v>21</v>
      </c>
      <c r="J64" s="1">
        <v>29</v>
      </c>
      <c r="K64" s="1">
        <v>20</v>
      </c>
      <c r="L64" s="1">
        <v>25</v>
      </c>
      <c r="M64" s="1">
        <v>26</v>
      </c>
      <c r="N64" s="1"/>
      <c r="O64" s="1"/>
      <c r="P64" s="1"/>
      <c r="Q64" s="1"/>
      <c r="R64" s="1"/>
      <c r="S64" s="1"/>
      <c r="T64" s="1"/>
      <c r="U64" s="1"/>
      <c r="V64" s="1"/>
      <c r="W64" s="1"/>
      <c r="X64" s="1"/>
      <c r="Y64" s="1"/>
      <c r="Z64" s="1"/>
      <c r="AA64" s="1"/>
      <c r="AB64" s="1"/>
      <c r="AC64">
        <f t="shared" si="11"/>
        <v>210</v>
      </c>
      <c r="AD64">
        <f t="shared" si="12"/>
        <v>10</v>
      </c>
      <c r="AE64">
        <f t="shared" si="13"/>
        <v>1</v>
      </c>
      <c r="AF64">
        <f t="shared" si="9"/>
        <v>9</v>
      </c>
      <c r="AG64">
        <f t="shared" si="10"/>
        <v>23.333333333333332</v>
      </c>
    </row>
    <row r="65" spans="3:33">
      <c r="C65" t="s">
        <v>154</v>
      </c>
      <c r="D65" s="1">
        <v>22</v>
      </c>
      <c r="E65" s="1">
        <v>21</v>
      </c>
      <c r="F65" s="1">
        <v>23</v>
      </c>
      <c r="G65" s="1">
        <v>30</v>
      </c>
      <c r="H65" s="1">
        <v>27</v>
      </c>
      <c r="I65" s="1">
        <v>29</v>
      </c>
      <c r="J65" s="1">
        <v>28</v>
      </c>
      <c r="K65" s="1">
        <v>29</v>
      </c>
      <c r="L65" s="1"/>
      <c r="M65" s="1"/>
      <c r="N65" s="1"/>
      <c r="O65" s="1"/>
      <c r="P65" s="1"/>
      <c r="Q65" s="1"/>
      <c r="R65" s="1"/>
      <c r="S65" s="1"/>
      <c r="T65" s="1"/>
      <c r="U65" s="1"/>
      <c r="V65" s="1"/>
      <c r="W65" s="1"/>
      <c r="X65" s="1"/>
      <c r="Y65" s="1"/>
      <c r="Z65" s="1"/>
      <c r="AA65" s="1"/>
      <c r="AB65" s="1"/>
      <c r="AC65">
        <f t="shared" si="11"/>
        <v>209</v>
      </c>
      <c r="AD65">
        <f t="shared" si="12"/>
        <v>8</v>
      </c>
      <c r="AE65">
        <f t="shared" si="13"/>
        <v>0</v>
      </c>
      <c r="AF65">
        <f t="shared" si="9"/>
        <v>8</v>
      </c>
      <c r="AG65">
        <f t="shared" si="10"/>
        <v>26.125</v>
      </c>
    </row>
    <row r="66" spans="3:33">
      <c r="C66" t="s">
        <v>155</v>
      </c>
      <c r="D66" s="1">
        <v>32</v>
      </c>
      <c r="E66" s="1">
        <v>20</v>
      </c>
      <c r="F66" s="1">
        <v>28</v>
      </c>
      <c r="G66" s="1">
        <v>21</v>
      </c>
      <c r="H66" s="1">
        <v>32</v>
      </c>
      <c r="I66" s="1">
        <v>23</v>
      </c>
      <c r="J66" s="1">
        <v>25</v>
      </c>
      <c r="K66" s="1">
        <v>27</v>
      </c>
      <c r="L66" s="1"/>
      <c r="M66" s="1"/>
      <c r="N66" s="1"/>
      <c r="O66" s="1"/>
      <c r="P66" s="1"/>
      <c r="Q66" s="1"/>
      <c r="R66" s="1"/>
      <c r="S66" s="1"/>
      <c r="T66" s="1"/>
      <c r="U66" s="1"/>
      <c r="V66" s="1"/>
      <c r="W66" s="1"/>
      <c r="X66" s="1"/>
      <c r="Y66" s="1"/>
      <c r="Z66" s="1"/>
      <c r="AA66" s="1"/>
      <c r="AB66" s="1"/>
      <c r="AC66">
        <f t="shared" si="11"/>
        <v>208</v>
      </c>
      <c r="AD66">
        <f t="shared" si="12"/>
        <v>8</v>
      </c>
      <c r="AE66">
        <f t="shared" si="13"/>
        <v>0</v>
      </c>
      <c r="AF66">
        <f t="shared" si="9"/>
        <v>8</v>
      </c>
      <c r="AG66">
        <f t="shared" si="10"/>
        <v>26</v>
      </c>
    </row>
    <row r="67" spans="3:33">
      <c r="C67" t="s">
        <v>156</v>
      </c>
      <c r="D67" s="1">
        <v>23</v>
      </c>
      <c r="E67" s="1">
        <v>21</v>
      </c>
      <c r="F67" s="1">
        <v>22</v>
      </c>
      <c r="G67" s="1">
        <v>27</v>
      </c>
      <c r="H67" s="1">
        <v>21</v>
      </c>
      <c r="I67" s="1">
        <v>20</v>
      </c>
      <c r="J67" s="1">
        <v>21</v>
      </c>
      <c r="K67" s="1">
        <v>0</v>
      </c>
      <c r="L67" s="1">
        <v>25</v>
      </c>
      <c r="M67" s="1">
        <v>30</v>
      </c>
      <c r="N67" s="1"/>
      <c r="O67" s="1"/>
      <c r="P67" s="1"/>
      <c r="Q67" s="1"/>
      <c r="R67" s="1"/>
      <c r="S67" s="1"/>
      <c r="T67" s="1"/>
      <c r="U67" s="1"/>
      <c r="V67" s="1"/>
      <c r="W67" s="1"/>
      <c r="X67" s="1"/>
      <c r="Y67" s="1"/>
      <c r="Z67" s="1"/>
      <c r="AA67" s="1"/>
      <c r="AB67" s="1"/>
      <c r="AC67">
        <f t="shared" si="11"/>
        <v>210</v>
      </c>
      <c r="AD67">
        <f t="shared" si="12"/>
        <v>10</v>
      </c>
      <c r="AE67">
        <f t="shared" si="13"/>
        <v>1</v>
      </c>
      <c r="AF67">
        <f t="shared" si="9"/>
        <v>9</v>
      </c>
      <c r="AG67">
        <f t="shared" si="10"/>
        <v>23.333333333333332</v>
      </c>
    </row>
    <row r="68" spans="3:33">
      <c r="C68" t="s">
        <v>157</v>
      </c>
      <c r="D68" s="1">
        <v>22</v>
      </c>
      <c r="E68" s="1">
        <v>20</v>
      </c>
      <c r="F68" s="1">
        <v>22</v>
      </c>
      <c r="G68" s="1">
        <v>20</v>
      </c>
      <c r="H68" s="1">
        <v>25</v>
      </c>
      <c r="I68" s="1">
        <v>21</v>
      </c>
      <c r="J68" s="1">
        <v>25</v>
      </c>
      <c r="K68" s="1">
        <v>24</v>
      </c>
      <c r="L68" s="1">
        <v>23</v>
      </c>
      <c r="M68" s="1"/>
      <c r="N68" s="1"/>
      <c r="O68" s="1"/>
      <c r="P68" s="1"/>
      <c r="Q68" s="1"/>
      <c r="R68" s="1"/>
      <c r="S68" s="1"/>
      <c r="T68" s="1"/>
      <c r="U68" s="1"/>
      <c r="V68" s="1"/>
      <c r="W68" s="1"/>
      <c r="X68" s="1"/>
      <c r="Y68" s="1"/>
      <c r="Z68" s="1"/>
      <c r="AA68" s="1"/>
      <c r="AB68" s="1"/>
      <c r="AC68">
        <f t="shared" si="11"/>
        <v>202</v>
      </c>
      <c r="AD68">
        <f t="shared" si="12"/>
        <v>9</v>
      </c>
      <c r="AE68">
        <f t="shared" si="13"/>
        <v>0</v>
      </c>
      <c r="AF68">
        <f t="shared" si="9"/>
        <v>9</v>
      </c>
      <c r="AG68">
        <f t="shared" si="10"/>
        <v>22.444444444444443</v>
      </c>
    </row>
    <row r="69" spans="3:33">
      <c r="C69" t="s">
        <v>158</v>
      </c>
      <c r="D69" s="1">
        <v>20</v>
      </c>
      <c r="E69" s="1">
        <v>21</v>
      </c>
      <c r="F69" s="1">
        <v>25</v>
      </c>
      <c r="G69" s="1">
        <v>24</v>
      </c>
      <c r="H69" s="1">
        <v>20</v>
      </c>
      <c r="I69" s="1">
        <v>20</v>
      </c>
      <c r="J69" s="1">
        <v>30</v>
      </c>
      <c r="K69" s="1">
        <v>23</v>
      </c>
      <c r="L69" s="1">
        <v>20</v>
      </c>
      <c r="M69" s="1"/>
      <c r="N69" s="1"/>
      <c r="O69" s="1"/>
      <c r="P69" s="1"/>
      <c r="Q69" s="1"/>
      <c r="R69" s="1"/>
      <c r="S69" s="1"/>
      <c r="T69" s="1"/>
      <c r="U69" s="1"/>
      <c r="V69" s="1"/>
      <c r="W69" s="1"/>
      <c r="X69" s="1"/>
      <c r="Y69" s="1"/>
      <c r="Z69" s="1"/>
      <c r="AA69" s="1"/>
      <c r="AB69" s="1"/>
      <c r="AC69">
        <f t="shared" si="11"/>
        <v>203</v>
      </c>
      <c r="AD69">
        <f t="shared" si="12"/>
        <v>9</v>
      </c>
      <c r="AE69">
        <f t="shared" si="13"/>
        <v>0</v>
      </c>
      <c r="AF69">
        <f t="shared" si="9"/>
        <v>9</v>
      </c>
      <c r="AG69">
        <f t="shared" si="10"/>
        <v>22.555555555555557</v>
      </c>
    </row>
    <row r="70" spans="3:33">
      <c r="C70" t="s">
        <v>159</v>
      </c>
      <c r="D70" s="1">
        <v>21</v>
      </c>
      <c r="E70" s="1">
        <v>0</v>
      </c>
      <c r="F70" s="1">
        <v>25</v>
      </c>
      <c r="G70" s="1">
        <v>23</v>
      </c>
      <c r="H70" s="1">
        <v>22</v>
      </c>
      <c r="I70" s="1">
        <v>20</v>
      </c>
      <c r="J70" s="1">
        <v>0</v>
      </c>
      <c r="K70" s="1">
        <v>25</v>
      </c>
      <c r="L70" s="1">
        <v>23</v>
      </c>
      <c r="M70" s="1">
        <v>22</v>
      </c>
      <c r="N70" s="1">
        <v>20</v>
      </c>
      <c r="O70" s="1"/>
      <c r="P70" s="1"/>
      <c r="Q70" s="1"/>
      <c r="R70" s="1"/>
      <c r="S70" s="1"/>
      <c r="T70" s="1"/>
      <c r="U70" s="1"/>
      <c r="V70" s="1"/>
      <c r="W70" s="1"/>
      <c r="X70" s="1"/>
      <c r="Y70" s="1"/>
      <c r="Z70" s="1"/>
      <c r="AA70" s="1"/>
      <c r="AB70" s="1"/>
      <c r="AC70">
        <f t="shared" si="11"/>
        <v>201</v>
      </c>
      <c r="AD70">
        <f t="shared" si="12"/>
        <v>11</v>
      </c>
      <c r="AE70">
        <f t="shared" si="13"/>
        <v>2</v>
      </c>
      <c r="AF70">
        <f t="shared" si="9"/>
        <v>9</v>
      </c>
      <c r="AG70">
        <f t="shared" si="10"/>
        <v>22.333333333333332</v>
      </c>
    </row>
    <row r="71" spans="3:33">
      <c r="C71" t="s">
        <v>160</v>
      </c>
      <c r="D71" s="1">
        <v>21</v>
      </c>
      <c r="E71" s="1">
        <v>21</v>
      </c>
      <c r="F71" s="1">
        <v>24</v>
      </c>
      <c r="G71" s="1">
        <v>30</v>
      </c>
      <c r="H71" s="1">
        <v>0</v>
      </c>
      <c r="I71" s="1">
        <v>22</v>
      </c>
      <c r="J71" s="1">
        <v>25</v>
      </c>
      <c r="K71" s="1">
        <v>28</v>
      </c>
      <c r="L71" s="1">
        <v>29</v>
      </c>
      <c r="M71" s="1"/>
      <c r="N71" s="1"/>
      <c r="O71" s="1"/>
      <c r="P71" s="1"/>
      <c r="Q71" s="1"/>
      <c r="R71" s="1"/>
      <c r="S71" s="1"/>
      <c r="T71" s="1"/>
      <c r="U71" s="1"/>
      <c r="V71" s="1"/>
      <c r="W71" s="1"/>
      <c r="X71" s="1"/>
      <c r="Y71" s="1"/>
      <c r="Z71" s="1"/>
      <c r="AA71" s="1"/>
      <c r="AB71" s="1"/>
      <c r="AC71">
        <f t="shared" si="11"/>
        <v>200</v>
      </c>
      <c r="AD71">
        <f t="shared" si="12"/>
        <v>9</v>
      </c>
      <c r="AE71">
        <f t="shared" si="13"/>
        <v>1</v>
      </c>
      <c r="AF71">
        <f t="shared" si="9"/>
        <v>8</v>
      </c>
      <c r="AG71">
        <f t="shared" si="10"/>
        <v>25</v>
      </c>
    </row>
    <row r="72" spans="3:33">
      <c r="C72" t="s">
        <v>161</v>
      </c>
      <c r="D72" s="1">
        <v>23</v>
      </c>
      <c r="E72" s="1">
        <v>0</v>
      </c>
      <c r="F72" s="1">
        <v>0</v>
      </c>
      <c r="G72" s="1">
        <v>23</v>
      </c>
      <c r="H72" s="1">
        <v>24</v>
      </c>
      <c r="I72" s="1">
        <v>23</v>
      </c>
      <c r="J72" s="1">
        <v>26</v>
      </c>
      <c r="K72" s="1">
        <v>29</v>
      </c>
      <c r="L72" s="1">
        <v>31</v>
      </c>
      <c r="M72" s="1">
        <v>24</v>
      </c>
      <c r="N72" s="1"/>
      <c r="O72" s="1"/>
      <c r="P72" s="1"/>
      <c r="Q72" s="1"/>
      <c r="R72" s="1"/>
      <c r="S72" s="1"/>
      <c r="T72" s="1"/>
      <c r="U72" s="1"/>
      <c r="V72" s="1"/>
      <c r="W72" s="1"/>
      <c r="X72" s="1"/>
      <c r="Y72" s="1"/>
      <c r="Z72" s="1"/>
      <c r="AA72" s="1"/>
      <c r="AB72" s="1"/>
      <c r="AC72">
        <f t="shared" si="11"/>
        <v>203</v>
      </c>
      <c r="AD72">
        <f t="shared" si="12"/>
        <v>10</v>
      </c>
      <c r="AE72">
        <f t="shared" si="13"/>
        <v>2</v>
      </c>
      <c r="AF72">
        <f t="shared" si="9"/>
        <v>8</v>
      </c>
      <c r="AG72">
        <f t="shared" si="10"/>
        <v>25.375</v>
      </c>
    </row>
    <row r="73" spans="3:33">
      <c r="C73" t="s">
        <v>162</v>
      </c>
      <c r="D73" s="1">
        <v>0</v>
      </c>
      <c r="E73" s="1">
        <v>22</v>
      </c>
      <c r="F73" s="1">
        <v>29</v>
      </c>
      <c r="G73" s="1">
        <v>27</v>
      </c>
      <c r="H73" s="1">
        <v>20</v>
      </c>
      <c r="I73" s="1">
        <v>22</v>
      </c>
      <c r="J73" s="1">
        <v>24</v>
      </c>
      <c r="K73" s="1">
        <v>25</v>
      </c>
      <c r="L73" s="1">
        <v>29</v>
      </c>
      <c r="M73" s="1">
        <v>29</v>
      </c>
      <c r="N73" s="1"/>
      <c r="O73" s="1"/>
      <c r="P73" s="1"/>
      <c r="Q73" s="1"/>
      <c r="R73" s="1"/>
      <c r="S73" s="1"/>
      <c r="T73" s="1"/>
      <c r="U73" s="1"/>
      <c r="V73" s="1"/>
      <c r="W73" s="1"/>
      <c r="X73" s="1"/>
      <c r="Y73" s="1"/>
      <c r="Z73" s="1"/>
      <c r="AA73" s="1"/>
      <c r="AB73" s="1"/>
      <c r="AC73">
        <f t="shared" si="11"/>
        <v>227</v>
      </c>
      <c r="AD73">
        <f t="shared" si="12"/>
        <v>10</v>
      </c>
      <c r="AE73">
        <f t="shared" si="13"/>
        <v>1</v>
      </c>
      <c r="AF73">
        <f t="shared" si="9"/>
        <v>9</v>
      </c>
      <c r="AG73">
        <f t="shared" si="10"/>
        <v>25.222222222222221</v>
      </c>
    </row>
    <row r="74" spans="3:33">
      <c r="C74" t="s">
        <v>163</v>
      </c>
      <c r="D74" s="1">
        <v>28</v>
      </c>
      <c r="E74" s="1">
        <v>30</v>
      </c>
      <c r="F74" s="1">
        <v>20</v>
      </c>
      <c r="G74" s="1">
        <v>20</v>
      </c>
      <c r="H74" s="1">
        <v>25</v>
      </c>
      <c r="I74" s="1">
        <v>22</v>
      </c>
      <c r="J74" s="1">
        <v>28</v>
      </c>
      <c r="K74" s="1">
        <v>0</v>
      </c>
      <c r="L74" s="1">
        <v>20</v>
      </c>
      <c r="M74" s="1">
        <v>26</v>
      </c>
      <c r="N74" s="1"/>
      <c r="O74" s="1"/>
      <c r="P74" s="1"/>
      <c r="Q74" s="1"/>
      <c r="R74" s="1"/>
      <c r="S74" s="1"/>
      <c r="T74" s="1"/>
      <c r="U74" s="1"/>
      <c r="V74" s="1"/>
      <c r="W74" s="1"/>
      <c r="X74" s="1"/>
      <c r="Y74" s="1"/>
      <c r="Z74" s="1"/>
      <c r="AA74" s="1"/>
      <c r="AB74" s="1"/>
      <c r="AC74">
        <f t="shared" si="11"/>
        <v>219</v>
      </c>
      <c r="AD74">
        <f t="shared" si="12"/>
        <v>10</v>
      </c>
      <c r="AE74">
        <f t="shared" si="13"/>
        <v>1</v>
      </c>
      <c r="AF74">
        <f t="shared" si="9"/>
        <v>9</v>
      </c>
      <c r="AG74">
        <f t="shared" si="10"/>
        <v>24.333333333333332</v>
      </c>
    </row>
    <row r="75" spans="3:33">
      <c r="C75" t="s">
        <v>164</v>
      </c>
      <c r="D75" s="1">
        <v>25</v>
      </c>
      <c r="E75" s="1">
        <v>20</v>
      </c>
      <c r="F75" s="1">
        <v>25</v>
      </c>
      <c r="G75" s="1">
        <v>0</v>
      </c>
      <c r="H75" s="1">
        <v>24</v>
      </c>
      <c r="I75" s="1">
        <v>23</v>
      </c>
      <c r="J75" s="1">
        <v>25</v>
      </c>
      <c r="K75" s="1">
        <v>0</v>
      </c>
      <c r="L75" s="1">
        <v>23</v>
      </c>
      <c r="M75" s="1">
        <v>24</v>
      </c>
      <c r="N75" s="1">
        <v>0</v>
      </c>
      <c r="O75" s="1">
        <v>21</v>
      </c>
      <c r="P75" s="1"/>
      <c r="Q75" s="1"/>
      <c r="R75" s="1"/>
      <c r="S75" s="1"/>
      <c r="T75" s="1"/>
      <c r="U75" s="1"/>
      <c r="V75" s="1"/>
      <c r="W75" s="1"/>
      <c r="X75" s="1"/>
      <c r="Y75" s="1"/>
      <c r="Z75" s="1"/>
      <c r="AA75" s="1"/>
      <c r="AB75" s="1"/>
      <c r="AC75">
        <f t="shared" si="11"/>
        <v>210</v>
      </c>
      <c r="AD75">
        <f t="shared" si="12"/>
        <v>12</v>
      </c>
      <c r="AE75">
        <f t="shared" si="13"/>
        <v>3</v>
      </c>
      <c r="AF75">
        <f t="shared" si="9"/>
        <v>9</v>
      </c>
      <c r="AG75">
        <f t="shared" si="10"/>
        <v>23.333333333333332</v>
      </c>
    </row>
    <row r="76" spans="3:33">
      <c r="C76" t="s">
        <v>165</v>
      </c>
      <c r="D76" s="1">
        <v>22</v>
      </c>
      <c r="E76" s="1">
        <v>31</v>
      </c>
      <c r="F76" s="1">
        <v>26</v>
      </c>
      <c r="G76" s="1">
        <v>20</v>
      </c>
      <c r="H76" s="1">
        <v>28</v>
      </c>
      <c r="I76" s="1">
        <v>21</v>
      </c>
      <c r="J76" s="1">
        <v>30</v>
      </c>
      <c r="K76" s="1">
        <v>20</v>
      </c>
      <c r="L76" s="1">
        <v>0</v>
      </c>
      <c r="M76" s="1">
        <v>21</v>
      </c>
      <c r="N76" s="1"/>
      <c r="O76" s="1"/>
      <c r="P76" s="1"/>
      <c r="Q76" s="1"/>
      <c r="R76" s="1"/>
      <c r="S76" s="1"/>
      <c r="T76" s="1"/>
      <c r="U76" s="1"/>
      <c r="V76" s="1"/>
      <c r="W76" s="1"/>
      <c r="X76" s="1"/>
      <c r="Y76" s="1"/>
      <c r="Z76" s="1"/>
      <c r="AA76" s="1"/>
      <c r="AB76" s="1"/>
      <c r="AC76">
        <f t="shared" si="11"/>
        <v>219</v>
      </c>
      <c r="AD76">
        <f t="shared" si="12"/>
        <v>10</v>
      </c>
      <c r="AE76">
        <f t="shared" si="13"/>
        <v>1</v>
      </c>
      <c r="AF76">
        <f t="shared" si="9"/>
        <v>9</v>
      </c>
      <c r="AG76">
        <f t="shared" si="10"/>
        <v>24.333333333333332</v>
      </c>
    </row>
    <row r="77" spans="3:33">
      <c r="C77" t="s">
        <v>166</v>
      </c>
      <c r="D77" s="1">
        <v>21</v>
      </c>
      <c r="E77" s="1">
        <v>21</v>
      </c>
      <c r="F77" s="1">
        <v>30</v>
      </c>
      <c r="G77" s="1">
        <v>0</v>
      </c>
      <c r="H77" s="1">
        <v>26</v>
      </c>
      <c r="I77" s="1">
        <v>26</v>
      </c>
      <c r="J77" s="1">
        <v>21</v>
      </c>
      <c r="K77" s="1">
        <v>23</v>
      </c>
      <c r="L77" s="1">
        <v>71</v>
      </c>
      <c r="M77" s="1"/>
      <c r="N77" s="1"/>
      <c r="O77" s="1"/>
      <c r="P77" s="1"/>
      <c r="Q77" s="1"/>
      <c r="R77" s="1"/>
      <c r="S77" s="1"/>
      <c r="T77" s="1"/>
      <c r="U77" s="1"/>
      <c r="V77" s="1"/>
      <c r="W77" s="1"/>
      <c r="X77" s="1"/>
      <c r="Y77" s="1"/>
      <c r="Z77" s="1"/>
      <c r="AA77" s="1"/>
      <c r="AB77" s="1"/>
      <c r="AC77">
        <f t="shared" si="11"/>
        <v>239</v>
      </c>
      <c r="AD77">
        <f t="shared" si="12"/>
        <v>9</v>
      </c>
      <c r="AE77">
        <f t="shared" si="13"/>
        <v>1</v>
      </c>
      <c r="AF77">
        <f t="shared" si="9"/>
        <v>8</v>
      </c>
      <c r="AG77">
        <f t="shared" si="10"/>
        <v>29.875</v>
      </c>
    </row>
    <row r="78" spans="3:33">
      <c r="C78" t="s">
        <v>167</v>
      </c>
      <c r="D78" s="1">
        <v>22</v>
      </c>
      <c r="E78" s="1">
        <v>0</v>
      </c>
      <c r="F78" s="1">
        <v>20</v>
      </c>
      <c r="G78" s="1">
        <v>22</v>
      </c>
      <c r="H78" s="1">
        <v>26</v>
      </c>
      <c r="I78" s="1">
        <v>27</v>
      </c>
      <c r="J78" s="1">
        <v>25</v>
      </c>
      <c r="K78" s="1">
        <v>27</v>
      </c>
      <c r="L78" s="1">
        <v>20</v>
      </c>
      <c r="M78" s="1">
        <v>27</v>
      </c>
      <c r="N78" s="1"/>
      <c r="O78" s="1"/>
      <c r="P78" s="1"/>
      <c r="Q78" s="1"/>
      <c r="R78" s="1"/>
      <c r="S78" s="1"/>
      <c r="T78" s="1"/>
      <c r="U78" s="1"/>
      <c r="V78" s="1"/>
      <c r="W78" s="1"/>
      <c r="X78" s="1"/>
      <c r="Y78" s="1"/>
      <c r="Z78" s="1"/>
      <c r="AA78" s="1"/>
      <c r="AB78" s="1"/>
      <c r="AC78">
        <f t="shared" si="11"/>
        <v>216</v>
      </c>
      <c r="AD78">
        <f t="shared" si="12"/>
        <v>10</v>
      </c>
      <c r="AE78">
        <f t="shared" si="13"/>
        <v>1</v>
      </c>
      <c r="AF78">
        <f t="shared" si="9"/>
        <v>9</v>
      </c>
      <c r="AG78">
        <f t="shared" si="10"/>
        <v>24</v>
      </c>
    </row>
    <row r="79" spans="3:33">
      <c r="C79" t="s">
        <v>168</v>
      </c>
      <c r="D79" s="1">
        <v>0</v>
      </c>
      <c r="E79" s="1">
        <v>20</v>
      </c>
      <c r="F79" s="1">
        <v>29</v>
      </c>
      <c r="G79" s="1">
        <v>0</v>
      </c>
      <c r="H79" s="1">
        <v>29</v>
      </c>
      <c r="I79" s="1">
        <v>23</v>
      </c>
      <c r="J79" s="1">
        <v>21</v>
      </c>
      <c r="K79" s="1">
        <v>20</v>
      </c>
      <c r="L79" s="1">
        <v>0</v>
      </c>
      <c r="M79" s="1">
        <v>21</v>
      </c>
      <c r="N79" s="1">
        <v>27</v>
      </c>
      <c r="O79" s="1">
        <v>0</v>
      </c>
      <c r="P79" s="1">
        <v>0</v>
      </c>
      <c r="Q79" s="1">
        <v>25</v>
      </c>
      <c r="R79" s="1"/>
      <c r="S79" s="1"/>
      <c r="T79" s="1"/>
      <c r="U79" s="1"/>
      <c r="V79" s="1"/>
      <c r="W79" s="1"/>
      <c r="X79" s="1"/>
      <c r="Y79" s="1"/>
      <c r="Z79" s="1"/>
      <c r="AA79" s="1"/>
      <c r="AB79" s="1"/>
      <c r="AC79">
        <f t="shared" si="11"/>
        <v>215</v>
      </c>
      <c r="AD79">
        <f t="shared" si="12"/>
        <v>14</v>
      </c>
      <c r="AE79">
        <f t="shared" si="13"/>
        <v>5</v>
      </c>
      <c r="AF79">
        <f t="shared" si="9"/>
        <v>9</v>
      </c>
      <c r="AG79">
        <f t="shared" si="10"/>
        <v>23.888888888888889</v>
      </c>
    </row>
    <row r="80" spans="3:33">
      <c r="C80" t="s">
        <v>169</v>
      </c>
      <c r="D80" s="1">
        <v>28</v>
      </c>
      <c r="E80" s="1">
        <v>27</v>
      </c>
      <c r="F80" s="1">
        <v>0</v>
      </c>
      <c r="G80" s="1">
        <v>0</v>
      </c>
      <c r="H80" s="1">
        <v>27</v>
      </c>
      <c r="I80" s="1">
        <v>25</v>
      </c>
      <c r="J80" s="1">
        <v>20</v>
      </c>
      <c r="K80" s="1">
        <v>32</v>
      </c>
      <c r="L80" s="1">
        <v>20</v>
      </c>
      <c r="M80" s="1">
        <v>29</v>
      </c>
      <c r="N80" s="1"/>
      <c r="O80" s="1"/>
      <c r="P80" s="1"/>
      <c r="Q80" s="1"/>
      <c r="R80" s="1"/>
      <c r="S80" s="1"/>
      <c r="T80" s="1"/>
      <c r="U80" s="1"/>
      <c r="V80" s="1"/>
      <c r="W80" s="1"/>
      <c r="X80" s="1"/>
      <c r="Y80" s="1"/>
      <c r="Z80" s="1"/>
      <c r="AA80" s="1"/>
      <c r="AB80" s="1"/>
      <c r="AC80">
        <f t="shared" ref="AC80:AC111" si="14">SUM(D80:AB80)</f>
        <v>208</v>
      </c>
      <c r="AD80">
        <f t="shared" ref="AD80:AD115" si="15">COUNT(D80:AB80)</f>
        <v>10</v>
      </c>
      <c r="AE80">
        <f t="shared" ref="AE80:AE115" si="16">COUNTIF(D80:AB80,0)</f>
        <v>2</v>
      </c>
      <c r="AF80">
        <f t="shared" ref="AF80:AF115" si="17">AD80-AE80</f>
        <v>8</v>
      </c>
      <c r="AG80">
        <f t="shared" ref="AG80:AG115" si="18">AC80/AF80</f>
        <v>26</v>
      </c>
    </row>
    <row r="81" spans="3:33">
      <c r="C81" t="s">
        <v>170</v>
      </c>
      <c r="D81" s="1">
        <v>22</v>
      </c>
      <c r="E81" s="1">
        <v>24</v>
      </c>
      <c r="F81" s="1">
        <v>0</v>
      </c>
      <c r="G81" s="1">
        <v>0</v>
      </c>
      <c r="H81" s="1">
        <v>22</v>
      </c>
      <c r="I81" s="1">
        <v>26</v>
      </c>
      <c r="J81" s="1">
        <v>25</v>
      </c>
      <c r="K81" s="1">
        <v>20</v>
      </c>
      <c r="L81" s="1">
        <v>22</v>
      </c>
      <c r="M81" s="1">
        <v>25</v>
      </c>
      <c r="N81" s="1">
        <v>31</v>
      </c>
      <c r="O81" s="1"/>
      <c r="P81" s="1"/>
      <c r="Q81" s="1"/>
      <c r="R81" s="1"/>
      <c r="S81" s="1"/>
      <c r="T81" s="1"/>
      <c r="U81" s="1"/>
      <c r="V81" s="1"/>
      <c r="W81" s="1"/>
      <c r="X81" s="1"/>
      <c r="Y81" s="1"/>
      <c r="Z81" s="1"/>
      <c r="AA81" s="1"/>
      <c r="AB81" s="1"/>
      <c r="AC81">
        <f t="shared" si="14"/>
        <v>217</v>
      </c>
      <c r="AD81">
        <f t="shared" si="15"/>
        <v>11</v>
      </c>
      <c r="AE81">
        <f t="shared" si="16"/>
        <v>2</v>
      </c>
      <c r="AF81">
        <f t="shared" si="17"/>
        <v>9</v>
      </c>
      <c r="AG81">
        <f t="shared" si="18"/>
        <v>24.111111111111111</v>
      </c>
    </row>
    <row r="82" spans="3:33">
      <c r="C82" t="s">
        <v>171</v>
      </c>
      <c r="D82" s="1">
        <v>20</v>
      </c>
      <c r="E82" s="1">
        <v>0</v>
      </c>
      <c r="F82" s="1">
        <v>20</v>
      </c>
      <c r="G82" s="1">
        <v>22</v>
      </c>
      <c r="H82" s="1">
        <v>0</v>
      </c>
      <c r="I82" s="1">
        <v>25</v>
      </c>
      <c r="J82" s="1">
        <v>0</v>
      </c>
      <c r="K82" s="1">
        <v>24</v>
      </c>
      <c r="L82" s="1">
        <v>0</v>
      </c>
      <c r="M82" s="1">
        <v>29</v>
      </c>
      <c r="N82" s="1">
        <v>20</v>
      </c>
      <c r="O82" s="1">
        <v>20</v>
      </c>
      <c r="P82" s="1">
        <v>28</v>
      </c>
      <c r="Q82" s="1"/>
      <c r="R82" s="1"/>
      <c r="S82" s="1"/>
      <c r="T82" s="1"/>
      <c r="U82" s="1"/>
      <c r="V82" s="1"/>
      <c r="W82" s="1"/>
      <c r="X82" s="1"/>
      <c r="Y82" s="1"/>
      <c r="Z82" s="1"/>
      <c r="AA82" s="1"/>
      <c r="AB82" s="1"/>
      <c r="AC82">
        <f t="shared" si="14"/>
        <v>208</v>
      </c>
      <c r="AD82">
        <f t="shared" si="15"/>
        <v>13</v>
      </c>
      <c r="AE82">
        <f t="shared" si="16"/>
        <v>4</v>
      </c>
      <c r="AF82">
        <f t="shared" si="17"/>
        <v>9</v>
      </c>
      <c r="AG82">
        <f t="shared" si="18"/>
        <v>23.111111111111111</v>
      </c>
    </row>
    <row r="83" spans="3:33">
      <c r="C83" t="s">
        <v>172</v>
      </c>
      <c r="D83" s="1">
        <v>25</v>
      </c>
      <c r="E83" s="1">
        <v>27</v>
      </c>
      <c r="F83" s="1">
        <v>22</v>
      </c>
      <c r="G83" s="1">
        <v>30</v>
      </c>
      <c r="H83" s="1">
        <v>23</v>
      </c>
      <c r="I83" s="1">
        <v>23</v>
      </c>
      <c r="J83" s="1">
        <v>28</v>
      </c>
      <c r="K83" s="1">
        <v>69</v>
      </c>
      <c r="L83" s="1"/>
      <c r="M83" s="1"/>
      <c r="N83" s="1"/>
      <c r="O83" s="1"/>
      <c r="P83" s="1"/>
      <c r="Q83" s="1"/>
      <c r="R83" s="1"/>
      <c r="S83" s="1"/>
      <c r="T83" s="1"/>
      <c r="U83" s="1"/>
      <c r="V83" s="1"/>
      <c r="W83" s="1"/>
      <c r="X83" s="1"/>
      <c r="Y83" s="1"/>
      <c r="Z83" s="1"/>
      <c r="AA83" s="1"/>
      <c r="AB83" s="1"/>
      <c r="AC83">
        <f t="shared" si="14"/>
        <v>247</v>
      </c>
      <c r="AD83">
        <f t="shared" si="15"/>
        <v>8</v>
      </c>
      <c r="AE83">
        <f t="shared" si="16"/>
        <v>0</v>
      </c>
      <c r="AF83">
        <f t="shared" si="17"/>
        <v>8</v>
      </c>
      <c r="AG83">
        <f t="shared" si="18"/>
        <v>30.875</v>
      </c>
    </row>
    <row r="84" spans="3:33">
      <c r="C84" t="s">
        <v>173</v>
      </c>
      <c r="D84" s="1">
        <v>21</v>
      </c>
      <c r="E84" s="1">
        <v>22</v>
      </c>
      <c r="F84" s="1">
        <v>25</v>
      </c>
      <c r="G84" s="1">
        <v>26</v>
      </c>
      <c r="H84" s="1">
        <v>24</v>
      </c>
      <c r="I84" s="1">
        <v>27</v>
      </c>
      <c r="J84" s="1">
        <v>24</v>
      </c>
      <c r="K84" s="1">
        <v>21</v>
      </c>
      <c r="L84" s="1">
        <v>32</v>
      </c>
      <c r="M84" s="1"/>
      <c r="N84" s="1"/>
      <c r="O84" s="1"/>
      <c r="P84" s="1"/>
      <c r="Q84" s="1"/>
      <c r="R84" s="1"/>
      <c r="S84" s="1"/>
      <c r="T84" s="1"/>
      <c r="U84" s="1"/>
      <c r="V84" s="1"/>
      <c r="W84" s="1"/>
      <c r="X84" s="1"/>
      <c r="Y84" s="1"/>
      <c r="Z84" s="1"/>
      <c r="AA84" s="1"/>
      <c r="AB84" s="1"/>
      <c r="AC84">
        <f t="shared" si="14"/>
        <v>222</v>
      </c>
      <c r="AD84">
        <f t="shared" si="15"/>
        <v>9</v>
      </c>
      <c r="AE84">
        <f t="shared" si="16"/>
        <v>0</v>
      </c>
      <c r="AF84">
        <f t="shared" si="17"/>
        <v>9</v>
      </c>
      <c r="AG84">
        <f t="shared" si="18"/>
        <v>24.666666666666668</v>
      </c>
    </row>
    <row r="85" spans="3:33">
      <c r="C85" t="s">
        <v>174</v>
      </c>
      <c r="D85" s="1">
        <v>23</v>
      </c>
      <c r="E85" s="1">
        <v>20</v>
      </c>
      <c r="F85" s="1">
        <v>25</v>
      </c>
      <c r="G85" s="1">
        <v>22</v>
      </c>
      <c r="H85" s="1">
        <v>29</v>
      </c>
      <c r="I85" s="1">
        <v>0</v>
      </c>
      <c r="J85" s="1">
        <v>23</v>
      </c>
      <c r="K85" s="1">
        <v>0</v>
      </c>
      <c r="L85" s="1">
        <v>21</v>
      </c>
      <c r="M85" s="1">
        <v>0</v>
      </c>
      <c r="N85" s="1">
        <v>27</v>
      </c>
      <c r="O85" s="1">
        <v>0</v>
      </c>
      <c r="P85" s="1">
        <v>23</v>
      </c>
      <c r="Q85" s="1"/>
      <c r="R85" s="1"/>
      <c r="S85" s="1"/>
      <c r="T85" s="1"/>
      <c r="U85" s="1"/>
      <c r="V85" s="1"/>
      <c r="W85" s="1"/>
      <c r="X85" s="1"/>
      <c r="Y85" s="1"/>
      <c r="Z85" s="1"/>
      <c r="AA85" s="1"/>
      <c r="AB85" s="1"/>
      <c r="AC85">
        <f t="shared" si="14"/>
        <v>213</v>
      </c>
      <c r="AD85">
        <f t="shared" si="15"/>
        <v>13</v>
      </c>
      <c r="AE85">
        <f t="shared" si="16"/>
        <v>4</v>
      </c>
      <c r="AF85">
        <f t="shared" si="17"/>
        <v>9</v>
      </c>
      <c r="AG85">
        <f t="shared" si="18"/>
        <v>23.666666666666668</v>
      </c>
    </row>
    <row r="86" spans="3:33">
      <c r="C86" t="s">
        <v>175</v>
      </c>
      <c r="D86" s="1">
        <v>20</v>
      </c>
      <c r="E86" s="1">
        <v>24</v>
      </c>
      <c r="F86" s="1">
        <v>26</v>
      </c>
      <c r="G86" s="1">
        <v>20</v>
      </c>
      <c r="H86" s="1">
        <v>21</v>
      </c>
      <c r="I86" s="1">
        <v>20</v>
      </c>
      <c r="J86" s="1">
        <v>24</v>
      </c>
      <c r="K86" s="1">
        <v>28</v>
      </c>
      <c r="L86" s="1">
        <v>28</v>
      </c>
      <c r="M86" s="1"/>
      <c r="N86" s="1"/>
      <c r="O86" s="1"/>
      <c r="P86" s="1"/>
      <c r="Q86" s="1"/>
      <c r="R86" s="1"/>
      <c r="S86" s="1"/>
      <c r="T86" s="1"/>
      <c r="U86" s="1"/>
      <c r="V86" s="1"/>
      <c r="W86" s="1"/>
      <c r="X86" s="1"/>
      <c r="Y86" s="1"/>
      <c r="Z86" s="1"/>
      <c r="AA86" s="1"/>
      <c r="AB86" s="1"/>
      <c r="AC86">
        <f t="shared" si="14"/>
        <v>211</v>
      </c>
      <c r="AD86">
        <f t="shared" si="15"/>
        <v>9</v>
      </c>
      <c r="AE86">
        <f t="shared" si="16"/>
        <v>0</v>
      </c>
      <c r="AF86">
        <f t="shared" si="17"/>
        <v>9</v>
      </c>
      <c r="AG86">
        <f t="shared" si="18"/>
        <v>23.444444444444443</v>
      </c>
    </row>
    <row r="87" spans="3:33">
      <c r="C87" t="s">
        <v>176</v>
      </c>
      <c r="D87" s="1">
        <v>20</v>
      </c>
      <c r="E87" s="1">
        <v>24</v>
      </c>
      <c r="F87" s="1">
        <v>25</v>
      </c>
      <c r="G87" s="1">
        <v>25</v>
      </c>
      <c r="H87" s="1">
        <v>0</v>
      </c>
      <c r="I87" s="1">
        <v>26</v>
      </c>
      <c r="J87" s="1">
        <v>22</v>
      </c>
      <c r="K87" s="1">
        <v>22</v>
      </c>
      <c r="L87" s="1">
        <v>0</v>
      </c>
      <c r="M87" s="1">
        <v>29</v>
      </c>
      <c r="N87" s="1">
        <v>20</v>
      </c>
      <c r="O87" s="1"/>
      <c r="P87" s="1"/>
      <c r="Q87" s="1"/>
      <c r="R87" s="1"/>
      <c r="S87" s="1"/>
      <c r="T87" s="1"/>
      <c r="U87" s="1"/>
      <c r="V87" s="1"/>
      <c r="W87" s="1"/>
      <c r="X87" s="1"/>
      <c r="Y87" s="1"/>
      <c r="Z87" s="1"/>
      <c r="AA87" s="1"/>
      <c r="AB87" s="1"/>
      <c r="AC87">
        <f t="shared" si="14"/>
        <v>213</v>
      </c>
      <c r="AD87">
        <f t="shared" si="15"/>
        <v>11</v>
      </c>
      <c r="AE87">
        <f t="shared" si="16"/>
        <v>2</v>
      </c>
      <c r="AF87">
        <f t="shared" si="17"/>
        <v>9</v>
      </c>
      <c r="AG87">
        <f t="shared" si="18"/>
        <v>23.666666666666668</v>
      </c>
    </row>
    <row r="88" spans="3:33">
      <c r="C88" t="s">
        <v>177</v>
      </c>
      <c r="D88" s="1">
        <v>29</v>
      </c>
      <c r="E88" s="1">
        <v>23</v>
      </c>
      <c r="F88" s="1">
        <v>27</v>
      </c>
      <c r="G88" s="1">
        <v>21</v>
      </c>
      <c r="H88" s="1">
        <v>20</v>
      </c>
      <c r="I88" s="1">
        <v>30</v>
      </c>
      <c r="J88" s="1">
        <v>23</v>
      </c>
      <c r="K88" s="1">
        <v>0</v>
      </c>
      <c r="L88" s="1">
        <v>0</v>
      </c>
      <c r="M88" s="1">
        <v>26</v>
      </c>
      <c r="N88" s="1">
        <v>0</v>
      </c>
      <c r="O88" s="1">
        <v>21</v>
      </c>
      <c r="P88" s="1"/>
      <c r="Q88" s="1"/>
      <c r="R88" s="1"/>
      <c r="S88" s="1"/>
      <c r="T88" s="1"/>
      <c r="U88" s="1"/>
      <c r="V88" s="1"/>
      <c r="W88" s="1"/>
      <c r="X88" s="1"/>
      <c r="Y88" s="1"/>
      <c r="Z88" s="1"/>
      <c r="AA88" s="1"/>
      <c r="AB88" s="1"/>
      <c r="AC88">
        <f t="shared" si="14"/>
        <v>220</v>
      </c>
      <c r="AD88">
        <f t="shared" si="15"/>
        <v>12</v>
      </c>
      <c r="AE88">
        <f t="shared" si="16"/>
        <v>3</v>
      </c>
      <c r="AF88">
        <f t="shared" si="17"/>
        <v>9</v>
      </c>
      <c r="AG88">
        <f t="shared" si="18"/>
        <v>24.444444444444443</v>
      </c>
    </row>
    <row r="89" spans="3:33">
      <c r="C89" t="s">
        <v>178</v>
      </c>
      <c r="D89" s="1">
        <v>23</v>
      </c>
      <c r="E89" s="1">
        <v>30</v>
      </c>
      <c r="F89" s="1">
        <v>20</v>
      </c>
      <c r="G89" s="1">
        <v>23</v>
      </c>
      <c r="H89" s="1">
        <v>32</v>
      </c>
      <c r="I89" s="1">
        <v>32</v>
      </c>
      <c r="J89" s="1">
        <v>28</v>
      </c>
      <c r="K89" s="1">
        <v>29</v>
      </c>
      <c r="L89" s="1"/>
      <c r="M89" s="1"/>
      <c r="N89" s="1"/>
      <c r="O89" s="1"/>
      <c r="P89" s="1"/>
      <c r="Q89" s="1"/>
      <c r="R89" s="1"/>
      <c r="S89" s="1"/>
      <c r="T89" s="1"/>
      <c r="U89" s="1"/>
      <c r="V89" s="1"/>
      <c r="W89" s="1"/>
      <c r="X89" s="1"/>
      <c r="Y89" s="1"/>
      <c r="Z89" s="1"/>
      <c r="AA89" s="1"/>
      <c r="AB89" s="1"/>
      <c r="AC89">
        <f t="shared" si="14"/>
        <v>217</v>
      </c>
      <c r="AD89">
        <f t="shared" si="15"/>
        <v>8</v>
      </c>
      <c r="AE89">
        <f t="shared" si="16"/>
        <v>0</v>
      </c>
      <c r="AF89">
        <f t="shared" si="17"/>
        <v>8</v>
      </c>
      <c r="AG89">
        <f t="shared" si="18"/>
        <v>27.125</v>
      </c>
    </row>
    <row r="90" spans="3:33">
      <c r="C90" t="s">
        <v>179</v>
      </c>
      <c r="D90" s="1">
        <v>25</v>
      </c>
      <c r="E90" s="1">
        <v>22</v>
      </c>
      <c r="F90" s="1">
        <v>28</v>
      </c>
      <c r="G90" s="1">
        <v>66</v>
      </c>
      <c r="H90" s="1">
        <v>21</v>
      </c>
      <c r="I90" s="1">
        <v>25</v>
      </c>
      <c r="J90" s="1">
        <v>21</v>
      </c>
      <c r="K90" s="1"/>
      <c r="L90" s="1"/>
      <c r="M90" s="1"/>
      <c r="N90" s="1"/>
      <c r="O90" s="1"/>
      <c r="P90" s="1"/>
      <c r="Q90" s="1"/>
      <c r="R90" s="1"/>
      <c r="S90" s="1"/>
      <c r="T90" s="1"/>
      <c r="U90" s="1"/>
      <c r="V90" s="1"/>
      <c r="W90" s="1"/>
      <c r="X90" s="1"/>
      <c r="Y90" s="1"/>
      <c r="Z90" s="1"/>
      <c r="AA90" s="1"/>
      <c r="AB90" s="1"/>
      <c r="AC90">
        <f t="shared" si="14"/>
        <v>208</v>
      </c>
      <c r="AD90">
        <f t="shared" si="15"/>
        <v>7</v>
      </c>
      <c r="AE90">
        <f t="shared" si="16"/>
        <v>0</v>
      </c>
      <c r="AF90">
        <f t="shared" si="17"/>
        <v>7</v>
      </c>
      <c r="AG90">
        <f t="shared" si="18"/>
        <v>29.714285714285715</v>
      </c>
    </row>
    <row r="91" spans="3:33">
      <c r="C91" t="s">
        <v>180</v>
      </c>
      <c r="D91" s="1">
        <v>0</v>
      </c>
      <c r="E91" s="1">
        <v>0</v>
      </c>
      <c r="F91" s="1">
        <v>20</v>
      </c>
      <c r="G91" s="1">
        <v>0</v>
      </c>
      <c r="H91" s="1">
        <v>0</v>
      </c>
      <c r="I91" s="1">
        <v>26</v>
      </c>
      <c r="J91" s="1">
        <v>25</v>
      </c>
      <c r="K91" s="1">
        <v>31</v>
      </c>
      <c r="L91" s="1">
        <v>24</v>
      </c>
      <c r="M91" s="1">
        <v>22</v>
      </c>
      <c r="N91" s="1">
        <v>27</v>
      </c>
      <c r="O91" s="1">
        <v>25</v>
      </c>
      <c r="P91" s="1"/>
      <c r="Q91" s="1"/>
      <c r="R91" s="1"/>
      <c r="S91" s="1"/>
      <c r="T91" s="1"/>
      <c r="U91" s="1"/>
      <c r="V91" s="1"/>
      <c r="W91" s="1"/>
      <c r="X91" s="1"/>
      <c r="Y91" s="1"/>
      <c r="Z91" s="1"/>
      <c r="AA91" s="1"/>
      <c r="AB91" s="1"/>
      <c r="AC91">
        <f t="shared" si="14"/>
        <v>200</v>
      </c>
      <c r="AD91">
        <f t="shared" si="15"/>
        <v>12</v>
      </c>
      <c r="AE91">
        <f t="shared" si="16"/>
        <v>4</v>
      </c>
      <c r="AF91">
        <f t="shared" si="17"/>
        <v>8</v>
      </c>
      <c r="AG91">
        <f t="shared" si="18"/>
        <v>25</v>
      </c>
    </row>
    <row r="92" spans="3:33">
      <c r="C92" t="s">
        <v>181</v>
      </c>
      <c r="D92" s="1">
        <v>0</v>
      </c>
      <c r="E92" s="1">
        <v>20</v>
      </c>
      <c r="F92" s="1">
        <v>23</v>
      </c>
      <c r="G92" s="1">
        <v>0</v>
      </c>
      <c r="H92" s="1">
        <v>23</v>
      </c>
      <c r="I92" s="1">
        <v>30</v>
      </c>
      <c r="J92" s="1">
        <v>24</v>
      </c>
      <c r="K92" s="1">
        <v>0</v>
      </c>
      <c r="L92" s="1">
        <v>0</v>
      </c>
      <c r="M92" s="1">
        <v>28</v>
      </c>
      <c r="N92" s="1">
        <v>20</v>
      </c>
      <c r="O92" s="1">
        <v>27</v>
      </c>
      <c r="P92" s="1">
        <v>29</v>
      </c>
      <c r="Q92" s="1"/>
      <c r="R92" s="1"/>
      <c r="S92" s="1"/>
      <c r="T92" s="1"/>
      <c r="U92" s="1"/>
      <c r="V92" s="1"/>
      <c r="W92" s="1"/>
      <c r="X92" s="1"/>
      <c r="Y92" s="1"/>
      <c r="Z92" s="1"/>
      <c r="AA92" s="1"/>
      <c r="AB92" s="1"/>
      <c r="AC92">
        <f t="shared" si="14"/>
        <v>224</v>
      </c>
      <c r="AD92">
        <f t="shared" si="15"/>
        <v>13</v>
      </c>
      <c r="AE92">
        <f t="shared" si="16"/>
        <v>4</v>
      </c>
      <c r="AF92">
        <f t="shared" si="17"/>
        <v>9</v>
      </c>
      <c r="AG92">
        <f t="shared" si="18"/>
        <v>24.888888888888889</v>
      </c>
    </row>
    <row r="93" spans="3:33">
      <c r="C93" t="s">
        <v>182</v>
      </c>
      <c r="D93" s="1">
        <v>22</v>
      </c>
      <c r="E93" s="1">
        <v>21</v>
      </c>
      <c r="F93" s="1">
        <v>23</v>
      </c>
      <c r="G93" s="1">
        <v>0</v>
      </c>
      <c r="H93" s="1">
        <v>23</v>
      </c>
      <c r="I93" s="1">
        <v>0</v>
      </c>
      <c r="J93" s="1">
        <v>20</v>
      </c>
      <c r="K93" s="1">
        <v>0</v>
      </c>
      <c r="L93" s="1">
        <v>28</v>
      </c>
      <c r="M93" s="1">
        <v>25</v>
      </c>
      <c r="N93" s="1">
        <v>22</v>
      </c>
      <c r="O93" s="1">
        <v>20</v>
      </c>
      <c r="P93" s="1"/>
      <c r="Q93" s="1"/>
      <c r="R93" s="1"/>
      <c r="S93" s="1"/>
      <c r="T93" s="1"/>
      <c r="U93" s="1"/>
      <c r="V93" s="1"/>
      <c r="W93" s="1"/>
      <c r="X93" s="1"/>
      <c r="Y93" s="1"/>
      <c r="Z93" s="1"/>
      <c r="AA93" s="1"/>
      <c r="AB93" s="1"/>
      <c r="AC93">
        <f t="shared" si="14"/>
        <v>204</v>
      </c>
      <c r="AD93">
        <f t="shared" si="15"/>
        <v>12</v>
      </c>
      <c r="AE93">
        <f t="shared" si="16"/>
        <v>3</v>
      </c>
      <c r="AF93">
        <f t="shared" si="17"/>
        <v>9</v>
      </c>
      <c r="AG93">
        <f t="shared" si="18"/>
        <v>22.666666666666668</v>
      </c>
    </row>
    <row r="94" spans="3:33">
      <c r="C94" t="s">
        <v>183</v>
      </c>
      <c r="D94" s="1">
        <v>22</v>
      </c>
      <c r="E94" s="1">
        <v>21</v>
      </c>
      <c r="F94" s="1">
        <v>26</v>
      </c>
      <c r="G94" s="1">
        <v>20</v>
      </c>
      <c r="H94" s="1">
        <v>21</v>
      </c>
      <c r="I94" s="1">
        <v>0</v>
      </c>
      <c r="J94" s="1">
        <v>25</v>
      </c>
      <c r="K94" s="1">
        <v>21</v>
      </c>
      <c r="L94" s="1">
        <v>23</v>
      </c>
      <c r="M94" s="1">
        <v>27</v>
      </c>
      <c r="N94" s="1"/>
      <c r="O94" s="1"/>
      <c r="P94" s="1"/>
      <c r="Q94" s="1"/>
      <c r="R94" s="1"/>
      <c r="S94" s="1"/>
      <c r="T94" s="1"/>
      <c r="U94" s="1"/>
      <c r="V94" s="1"/>
      <c r="W94" s="1"/>
      <c r="X94" s="1"/>
      <c r="Y94" s="1"/>
      <c r="Z94" s="1"/>
      <c r="AA94" s="1"/>
      <c r="AB94" s="1"/>
      <c r="AC94">
        <f t="shared" si="14"/>
        <v>206</v>
      </c>
      <c r="AD94">
        <f t="shared" si="15"/>
        <v>10</v>
      </c>
      <c r="AE94">
        <f t="shared" si="16"/>
        <v>1</v>
      </c>
      <c r="AF94">
        <f t="shared" si="17"/>
        <v>9</v>
      </c>
      <c r="AG94">
        <f t="shared" si="18"/>
        <v>22.888888888888889</v>
      </c>
    </row>
    <row r="95" spans="3:33">
      <c r="C95" t="s">
        <v>184</v>
      </c>
      <c r="D95" s="1">
        <v>20</v>
      </c>
      <c r="E95" s="1">
        <v>21</v>
      </c>
      <c r="F95" s="1">
        <v>27</v>
      </c>
      <c r="G95" s="1">
        <v>26</v>
      </c>
      <c r="H95" s="1">
        <v>0</v>
      </c>
      <c r="I95" s="1">
        <v>25</v>
      </c>
      <c r="J95" s="1">
        <v>29</v>
      </c>
      <c r="K95" s="1">
        <v>20</v>
      </c>
      <c r="L95" s="1">
        <v>21</v>
      </c>
      <c r="M95" s="1">
        <v>29</v>
      </c>
      <c r="N95" s="1"/>
      <c r="O95" s="1"/>
      <c r="P95" s="1"/>
      <c r="Q95" s="1"/>
      <c r="R95" s="1"/>
      <c r="S95" s="1"/>
      <c r="T95" s="1"/>
      <c r="U95" s="1"/>
      <c r="V95" s="1"/>
      <c r="W95" s="1"/>
      <c r="X95" s="1"/>
      <c r="Y95" s="1"/>
      <c r="Z95" s="1"/>
      <c r="AA95" s="1"/>
      <c r="AB95" s="1"/>
      <c r="AC95">
        <f t="shared" si="14"/>
        <v>218</v>
      </c>
      <c r="AD95">
        <f t="shared" si="15"/>
        <v>10</v>
      </c>
      <c r="AE95">
        <f t="shared" si="16"/>
        <v>1</v>
      </c>
      <c r="AF95">
        <f t="shared" si="17"/>
        <v>9</v>
      </c>
      <c r="AG95">
        <f t="shared" si="18"/>
        <v>24.222222222222221</v>
      </c>
    </row>
    <row r="96" spans="3:33">
      <c r="C96" t="s">
        <v>185</v>
      </c>
      <c r="D96" s="1">
        <v>0</v>
      </c>
      <c r="E96" s="1">
        <v>25</v>
      </c>
      <c r="F96" s="1">
        <v>31</v>
      </c>
      <c r="G96" s="1">
        <v>22</v>
      </c>
      <c r="H96" s="1">
        <v>28</v>
      </c>
      <c r="I96" s="1">
        <v>29</v>
      </c>
      <c r="J96" s="1">
        <v>0</v>
      </c>
      <c r="K96" s="1">
        <v>29</v>
      </c>
      <c r="L96" s="1">
        <v>21</v>
      </c>
      <c r="M96" s="1">
        <v>0</v>
      </c>
      <c r="N96" s="1">
        <v>24</v>
      </c>
      <c r="O96" s="1"/>
      <c r="P96" s="1"/>
      <c r="Q96" s="1"/>
      <c r="R96" s="1"/>
      <c r="S96" s="1"/>
      <c r="T96" s="1"/>
      <c r="U96" s="1"/>
      <c r="V96" s="1"/>
      <c r="W96" s="1"/>
      <c r="X96" s="1"/>
      <c r="Y96" s="1"/>
      <c r="Z96" s="1"/>
      <c r="AA96" s="1"/>
      <c r="AB96" s="1"/>
      <c r="AC96">
        <f t="shared" si="14"/>
        <v>209</v>
      </c>
      <c r="AD96">
        <f t="shared" si="15"/>
        <v>11</v>
      </c>
      <c r="AE96">
        <f t="shared" si="16"/>
        <v>3</v>
      </c>
      <c r="AF96">
        <f t="shared" si="17"/>
        <v>8</v>
      </c>
      <c r="AG96">
        <f t="shared" si="18"/>
        <v>26.125</v>
      </c>
    </row>
    <row r="97" spans="3:33">
      <c r="C97" t="s">
        <v>186</v>
      </c>
      <c r="D97" s="1">
        <v>0</v>
      </c>
      <c r="E97" s="1">
        <v>26</v>
      </c>
      <c r="F97" s="1">
        <v>22</v>
      </c>
      <c r="G97" s="1">
        <v>22</v>
      </c>
      <c r="H97" s="1">
        <v>30</v>
      </c>
      <c r="I97" s="1">
        <v>0</v>
      </c>
      <c r="J97" s="1">
        <v>28</v>
      </c>
      <c r="K97" s="1">
        <v>23</v>
      </c>
      <c r="L97" s="1">
        <v>0</v>
      </c>
      <c r="M97" s="1">
        <v>0</v>
      </c>
      <c r="N97" s="1">
        <v>20</v>
      </c>
      <c r="O97" s="1">
        <v>0</v>
      </c>
      <c r="P97" s="1">
        <v>22</v>
      </c>
      <c r="Q97" s="1">
        <v>31</v>
      </c>
      <c r="R97" s="1"/>
      <c r="S97" s="1"/>
      <c r="T97" s="1"/>
      <c r="U97" s="1"/>
      <c r="V97" s="1"/>
      <c r="W97" s="1"/>
      <c r="X97" s="1"/>
      <c r="Y97" s="1"/>
      <c r="Z97" s="1"/>
      <c r="AA97" s="1"/>
      <c r="AB97" s="1"/>
      <c r="AC97">
        <f t="shared" si="14"/>
        <v>224</v>
      </c>
      <c r="AD97">
        <f t="shared" si="15"/>
        <v>14</v>
      </c>
      <c r="AE97">
        <f t="shared" si="16"/>
        <v>5</v>
      </c>
      <c r="AF97">
        <f t="shared" si="17"/>
        <v>9</v>
      </c>
      <c r="AG97">
        <f t="shared" si="18"/>
        <v>24.888888888888889</v>
      </c>
    </row>
    <row r="98" spans="3:33">
      <c r="C98" t="s">
        <v>187</v>
      </c>
      <c r="D98" s="1">
        <v>22</v>
      </c>
      <c r="E98" s="1">
        <v>20</v>
      </c>
      <c r="F98" s="1">
        <v>25</v>
      </c>
      <c r="G98" s="1">
        <v>27</v>
      </c>
      <c r="H98" s="1">
        <v>22</v>
      </c>
      <c r="I98" s="1">
        <v>21</v>
      </c>
      <c r="J98" s="1">
        <v>0</v>
      </c>
      <c r="K98" s="1">
        <v>22</v>
      </c>
      <c r="L98" s="1">
        <v>0</v>
      </c>
      <c r="M98" s="1">
        <v>23</v>
      </c>
      <c r="N98" s="1">
        <v>0</v>
      </c>
      <c r="O98" s="1">
        <v>21</v>
      </c>
      <c r="P98" s="1"/>
      <c r="Q98" s="1"/>
      <c r="R98" s="1"/>
      <c r="S98" s="1"/>
      <c r="T98" s="1"/>
      <c r="U98" s="1"/>
      <c r="V98" s="1"/>
      <c r="W98" s="1"/>
      <c r="X98" s="1"/>
      <c r="Y98" s="1"/>
      <c r="Z98" s="1"/>
      <c r="AA98" s="1"/>
      <c r="AB98" s="1"/>
      <c r="AC98">
        <f t="shared" si="14"/>
        <v>203</v>
      </c>
      <c r="AD98">
        <f t="shared" si="15"/>
        <v>12</v>
      </c>
      <c r="AE98">
        <f t="shared" si="16"/>
        <v>3</v>
      </c>
      <c r="AF98">
        <f t="shared" si="17"/>
        <v>9</v>
      </c>
      <c r="AG98">
        <f t="shared" si="18"/>
        <v>22.555555555555557</v>
      </c>
    </row>
    <row r="99" spans="3:33">
      <c r="C99" t="s">
        <v>188</v>
      </c>
      <c r="D99" s="1">
        <v>0</v>
      </c>
      <c r="E99" s="1">
        <v>22</v>
      </c>
      <c r="F99" s="1">
        <v>30</v>
      </c>
      <c r="G99" s="1">
        <v>29</v>
      </c>
      <c r="H99" s="1">
        <v>20</v>
      </c>
      <c r="I99" s="1">
        <v>59</v>
      </c>
      <c r="J99" s="1">
        <v>27</v>
      </c>
      <c r="K99" s="1">
        <v>23</v>
      </c>
      <c r="L99" s="1"/>
      <c r="M99" s="1"/>
      <c r="N99" s="1"/>
      <c r="O99" s="1"/>
      <c r="P99" s="1"/>
      <c r="Q99" s="1"/>
      <c r="R99" s="1"/>
      <c r="S99" s="1"/>
      <c r="T99" s="1"/>
      <c r="U99" s="1"/>
      <c r="V99" s="1"/>
      <c r="W99" s="1"/>
      <c r="X99" s="1"/>
      <c r="Y99" s="1"/>
      <c r="Z99" s="1"/>
      <c r="AA99" s="1"/>
      <c r="AB99" s="1"/>
      <c r="AC99">
        <f t="shared" si="14"/>
        <v>210</v>
      </c>
      <c r="AD99">
        <f t="shared" si="15"/>
        <v>8</v>
      </c>
      <c r="AE99">
        <f t="shared" si="16"/>
        <v>1</v>
      </c>
      <c r="AF99">
        <f t="shared" si="17"/>
        <v>7</v>
      </c>
      <c r="AG99">
        <f t="shared" si="18"/>
        <v>30</v>
      </c>
    </row>
    <row r="100" spans="3:33">
      <c r="C100" t="s">
        <v>189</v>
      </c>
      <c r="D100" s="1">
        <v>25</v>
      </c>
      <c r="E100" s="1">
        <v>31</v>
      </c>
      <c r="F100" s="1">
        <v>30</v>
      </c>
      <c r="G100" s="1">
        <v>23</v>
      </c>
      <c r="H100" s="1">
        <v>20</v>
      </c>
      <c r="I100" s="1">
        <v>23</v>
      </c>
      <c r="J100" s="1">
        <v>29</v>
      </c>
      <c r="K100" s="1">
        <v>0</v>
      </c>
      <c r="L100" s="1">
        <v>26</v>
      </c>
      <c r="M100" s="1"/>
      <c r="N100" s="1"/>
      <c r="O100" s="1"/>
      <c r="P100" s="1"/>
      <c r="Q100" s="1"/>
      <c r="R100" s="1"/>
      <c r="S100" s="1"/>
      <c r="T100" s="1"/>
      <c r="U100" s="1"/>
      <c r="V100" s="1"/>
      <c r="W100" s="1"/>
      <c r="X100" s="1"/>
      <c r="Y100" s="1"/>
      <c r="Z100" s="1"/>
      <c r="AA100" s="1"/>
      <c r="AB100" s="1"/>
      <c r="AC100">
        <f t="shared" si="14"/>
        <v>207</v>
      </c>
      <c r="AD100">
        <f t="shared" si="15"/>
        <v>9</v>
      </c>
      <c r="AE100">
        <f t="shared" si="16"/>
        <v>1</v>
      </c>
      <c r="AF100">
        <f t="shared" si="17"/>
        <v>8</v>
      </c>
      <c r="AG100">
        <f t="shared" si="18"/>
        <v>25.875</v>
      </c>
    </row>
    <row r="101" spans="3:33">
      <c r="C101" t="s">
        <v>190</v>
      </c>
      <c r="D101" s="1">
        <v>0</v>
      </c>
      <c r="E101" s="1">
        <v>27</v>
      </c>
      <c r="F101" s="1">
        <v>31</v>
      </c>
      <c r="G101" s="1">
        <v>0</v>
      </c>
      <c r="H101" s="1">
        <v>31</v>
      </c>
      <c r="I101" s="1">
        <v>22</v>
      </c>
      <c r="J101" s="1">
        <v>23</v>
      </c>
      <c r="K101" s="1">
        <v>24</v>
      </c>
      <c r="L101" s="1">
        <v>20</v>
      </c>
      <c r="M101" s="1">
        <v>26</v>
      </c>
      <c r="N101" s="1"/>
      <c r="O101" s="1"/>
      <c r="P101" s="1"/>
      <c r="Q101" s="1"/>
      <c r="R101" s="1"/>
      <c r="S101" s="1"/>
      <c r="T101" s="1"/>
      <c r="U101" s="1"/>
      <c r="V101" s="1"/>
      <c r="W101" s="1"/>
      <c r="X101" s="1"/>
      <c r="Y101" s="1"/>
      <c r="Z101" s="1"/>
      <c r="AA101" s="1"/>
      <c r="AB101" s="1"/>
      <c r="AC101">
        <f t="shared" si="14"/>
        <v>204</v>
      </c>
      <c r="AD101">
        <f t="shared" si="15"/>
        <v>10</v>
      </c>
      <c r="AE101">
        <f t="shared" si="16"/>
        <v>2</v>
      </c>
      <c r="AF101">
        <f t="shared" si="17"/>
        <v>8</v>
      </c>
      <c r="AG101">
        <f t="shared" si="18"/>
        <v>25.5</v>
      </c>
    </row>
    <row r="102" spans="3:33">
      <c r="C102" t="s">
        <v>191</v>
      </c>
      <c r="D102" s="1">
        <v>21</v>
      </c>
      <c r="E102" s="1">
        <v>0</v>
      </c>
      <c r="F102" s="1">
        <v>21</v>
      </c>
      <c r="G102" s="1">
        <v>24</v>
      </c>
      <c r="H102" s="1">
        <v>25</v>
      </c>
      <c r="I102" s="1">
        <v>22</v>
      </c>
      <c r="J102" s="1">
        <v>23</v>
      </c>
      <c r="K102" s="1">
        <v>21</v>
      </c>
      <c r="L102" s="1">
        <v>22</v>
      </c>
      <c r="M102" s="1">
        <v>23</v>
      </c>
      <c r="N102" s="1"/>
      <c r="O102" s="1"/>
      <c r="P102" s="1"/>
      <c r="Q102" s="1"/>
      <c r="R102" s="1"/>
      <c r="S102" s="1"/>
      <c r="T102" s="1"/>
      <c r="U102" s="1"/>
      <c r="V102" s="1"/>
      <c r="W102" s="1"/>
      <c r="X102" s="1"/>
      <c r="Y102" s="1"/>
      <c r="Z102" s="1"/>
      <c r="AA102" s="1"/>
      <c r="AB102" s="1"/>
      <c r="AC102">
        <f t="shared" si="14"/>
        <v>202</v>
      </c>
      <c r="AD102">
        <f t="shared" si="15"/>
        <v>10</v>
      </c>
      <c r="AE102">
        <f t="shared" si="16"/>
        <v>1</v>
      </c>
      <c r="AF102">
        <f t="shared" si="17"/>
        <v>9</v>
      </c>
      <c r="AG102">
        <f t="shared" si="18"/>
        <v>22.444444444444443</v>
      </c>
    </row>
    <row r="103" spans="3:33">
      <c r="C103" t="s">
        <v>192</v>
      </c>
      <c r="D103" s="1">
        <v>21</v>
      </c>
      <c r="E103" s="1">
        <v>0</v>
      </c>
      <c r="F103" s="1">
        <v>25</v>
      </c>
      <c r="G103" s="1">
        <v>22</v>
      </c>
      <c r="H103" s="1">
        <v>0</v>
      </c>
      <c r="I103" s="1">
        <v>29</v>
      </c>
      <c r="J103" s="1">
        <v>30</v>
      </c>
      <c r="K103" s="1">
        <v>26</v>
      </c>
      <c r="L103" s="1">
        <v>21</v>
      </c>
      <c r="M103" s="1">
        <v>27</v>
      </c>
      <c r="N103" s="1"/>
      <c r="O103" s="1"/>
      <c r="P103" s="1"/>
      <c r="Q103" s="1"/>
      <c r="R103" s="1"/>
      <c r="S103" s="1"/>
      <c r="T103" s="1"/>
      <c r="U103" s="1"/>
      <c r="V103" s="1"/>
      <c r="W103" s="1"/>
      <c r="X103" s="1"/>
      <c r="Y103" s="1"/>
      <c r="Z103" s="1"/>
      <c r="AA103" s="1"/>
      <c r="AB103" s="1"/>
      <c r="AC103">
        <f t="shared" si="14"/>
        <v>201</v>
      </c>
      <c r="AD103">
        <f t="shared" si="15"/>
        <v>10</v>
      </c>
      <c r="AE103">
        <f t="shared" si="16"/>
        <v>2</v>
      </c>
      <c r="AF103">
        <f t="shared" si="17"/>
        <v>8</v>
      </c>
      <c r="AG103">
        <f t="shared" si="18"/>
        <v>25.125</v>
      </c>
    </row>
    <row r="104" spans="3:33">
      <c r="C104" t="s">
        <v>193</v>
      </c>
      <c r="D104" s="1">
        <v>28</v>
      </c>
      <c r="E104" s="1">
        <v>27</v>
      </c>
      <c r="F104" s="1">
        <v>30</v>
      </c>
      <c r="G104" s="1">
        <v>0</v>
      </c>
      <c r="H104" s="1">
        <v>24</v>
      </c>
      <c r="I104" s="1">
        <v>0</v>
      </c>
      <c r="J104" s="1">
        <v>26</v>
      </c>
      <c r="K104" s="1">
        <v>21</v>
      </c>
      <c r="L104" s="1">
        <v>25</v>
      </c>
      <c r="M104" s="1">
        <v>26</v>
      </c>
      <c r="N104" s="1"/>
      <c r="O104" s="1"/>
      <c r="P104" s="1"/>
      <c r="Q104" s="1"/>
      <c r="R104" s="1"/>
      <c r="S104" s="1"/>
      <c r="T104" s="1"/>
      <c r="U104" s="1"/>
      <c r="V104" s="1"/>
      <c r="W104" s="1"/>
      <c r="X104" s="1"/>
      <c r="Y104" s="1"/>
      <c r="Z104" s="1"/>
      <c r="AA104" s="1"/>
      <c r="AB104" s="1"/>
      <c r="AC104">
        <f t="shared" si="14"/>
        <v>207</v>
      </c>
      <c r="AD104">
        <f t="shared" si="15"/>
        <v>10</v>
      </c>
      <c r="AE104">
        <f t="shared" si="16"/>
        <v>2</v>
      </c>
      <c r="AF104">
        <f t="shared" si="17"/>
        <v>8</v>
      </c>
      <c r="AG104">
        <f t="shared" si="18"/>
        <v>25.875</v>
      </c>
    </row>
    <row r="105" spans="3:33">
      <c r="C105" t="s">
        <v>194</v>
      </c>
      <c r="D105" s="1">
        <v>21</v>
      </c>
      <c r="E105" s="1">
        <v>28</v>
      </c>
      <c r="F105" s="1">
        <v>29</v>
      </c>
      <c r="G105" s="1">
        <v>24</v>
      </c>
      <c r="H105" s="1">
        <v>0</v>
      </c>
      <c r="I105" s="1">
        <v>25</v>
      </c>
      <c r="J105" s="1">
        <v>0</v>
      </c>
      <c r="K105" s="1">
        <v>0</v>
      </c>
      <c r="L105" s="1">
        <v>24</v>
      </c>
      <c r="M105" s="1">
        <v>20</v>
      </c>
      <c r="N105" s="1">
        <v>21</v>
      </c>
      <c r="O105" s="1">
        <v>0</v>
      </c>
      <c r="P105" s="1">
        <v>25</v>
      </c>
      <c r="Q105" s="1"/>
      <c r="R105" s="1"/>
      <c r="S105" s="1"/>
      <c r="T105" s="1"/>
      <c r="U105" s="1"/>
      <c r="V105" s="1"/>
      <c r="W105" s="1"/>
      <c r="X105" s="1"/>
      <c r="Y105" s="1"/>
      <c r="Z105" s="1"/>
      <c r="AA105" s="1"/>
      <c r="AB105" s="1"/>
      <c r="AC105">
        <f t="shared" si="14"/>
        <v>217</v>
      </c>
      <c r="AD105">
        <f t="shared" si="15"/>
        <v>13</v>
      </c>
      <c r="AE105">
        <f t="shared" si="16"/>
        <v>4</v>
      </c>
      <c r="AF105">
        <f t="shared" si="17"/>
        <v>9</v>
      </c>
      <c r="AG105">
        <f t="shared" si="18"/>
        <v>24.111111111111111</v>
      </c>
    </row>
    <row r="106" spans="3:33">
      <c r="C106" t="s">
        <v>195</v>
      </c>
      <c r="D106" s="1">
        <v>23</v>
      </c>
      <c r="E106" s="1">
        <v>0</v>
      </c>
      <c r="F106" s="1">
        <v>24</v>
      </c>
      <c r="G106" s="1">
        <v>23</v>
      </c>
      <c r="H106" s="1">
        <v>0</v>
      </c>
      <c r="I106" s="1">
        <v>30</v>
      </c>
      <c r="J106" s="1">
        <v>27</v>
      </c>
      <c r="K106" s="1">
        <v>22</v>
      </c>
      <c r="L106" s="1">
        <v>0</v>
      </c>
      <c r="M106" s="1">
        <v>30</v>
      </c>
      <c r="N106" s="1">
        <v>30</v>
      </c>
      <c r="O106" s="1"/>
      <c r="P106" s="1"/>
      <c r="Q106" s="1"/>
      <c r="R106" s="1"/>
      <c r="S106" s="1"/>
      <c r="T106" s="1"/>
      <c r="U106" s="1"/>
      <c r="V106" s="1"/>
      <c r="W106" s="1"/>
      <c r="X106" s="1"/>
      <c r="Y106" s="1"/>
      <c r="Z106" s="1"/>
      <c r="AA106" s="1"/>
      <c r="AB106" s="1"/>
      <c r="AC106">
        <f t="shared" si="14"/>
        <v>209</v>
      </c>
      <c r="AD106">
        <f t="shared" si="15"/>
        <v>11</v>
      </c>
      <c r="AE106">
        <f t="shared" si="16"/>
        <v>3</v>
      </c>
      <c r="AF106">
        <f t="shared" si="17"/>
        <v>8</v>
      </c>
      <c r="AG106">
        <f t="shared" si="18"/>
        <v>26.125</v>
      </c>
    </row>
    <row r="107" spans="3:33">
      <c r="C107" t="s">
        <v>196</v>
      </c>
      <c r="D107" s="1">
        <v>24</v>
      </c>
      <c r="E107" s="1">
        <v>0</v>
      </c>
      <c r="F107" s="1">
        <v>22</v>
      </c>
      <c r="G107" s="1">
        <v>0</v>
      </c>
      <c r="H107" s="1">
        <v>26</v>
      </c>
      <c r="I107" s="1">
        <v>26</v>
      </c>
      <c r="J107" s="1">
        <v>25</v>
      </c>
      <c r="K107" s="1">
        <v>0</v>
      </c>
      <c r="L107" s="1">
        <v>0</v>
      </c>
      <c r="M107" s="1">
        <v>20</v>
      </c>
      <c r="N107" s="1">
        <v>26</v>
      </c>
      <c r="O107" s="1">
        <v>20</v>
      </c>
      <c r="P107" s="1">
        <v>61</v>
      </c>
      <c r="Q107" s="1"/>
      <c r="R107" s="1"/>
      <c r="S107" s="1"/>
      <c r="T107" s="1"/>
      <c r="U107" s="1"/>
      <c r="V107" s="1"/>
      <c r="W107" s="1"/>
      <c r="X107" s="1"/>
      <c r="Y107" s="1"/>
      <c r="Z107" s="1"/>
      <c r="AA107" s="1"/>
      <c r="AB107" s="1"/>
      <c r="AC107">
        <f t="shared" si="14"/>
        <v>250</v>
      </c>
      <c r="AD107">
        <f t="shared" si="15"/>
        <v>13</v>
      </c>
      <c r="AE107">
        <f t="shared" si="16"/>
        <v>4</v>
      </c>
      <c r="AF107">
        <f t="shared" si="17"/>
        <v>9</v>
      </c>
      <c r="AG107">
        <f t="shared" si="18"/>
        <v>27.777777777777779</v>
      </c>
    </row>
    <row r="108" spans="3:33">
      <c r="C108" t="s">
        <v>197</v>
      </c>
      <c r="D108" s="1">
        <v>22</v>
      </c>
      <c r="E108" s="1">
        <v>27</v>
      </c>
      <c r="F108" s="1">
        <v>23</v>
      </c>
      <c r="G108" s="1">
        <v>0</v>
      </c>
      <c r="H108" s="1">
        <v>0</v>
      </c>
      <c r="I108" s="1">
        <v>23</v>
      </c>
      <c r="J108" s="1">
        <v>22</v>
      </c>
      <c r="K108" s="1">
        <v>27</v>
      </c>
      <c r="L108" s="1">
        <v>29</v>
      </c>
      <c r="M108" s="1">
        <v>31</v>
      </c>
      <c r="N108" s="1"/>
      <c r="O108" s="1"/>
      <c r="P108" s="1"/>
      <c r="Q108" s="1"/>
      <c r="R108" s="1"/>
      <c r="S108" s="1"/>
      <c r="T108" s="1"/>
      <c r="U108" s="1"/>
      <c r="V108" s="1"/>
      <c r="W108" s="1"/>
      <c r="X108" s="1"/>
      <c r="Y108" s="1"/>
      <c r="Z108" s="1"/>
      <c r="AA108" s="1"/>
      <c r="AB108" s="1"/>
      <c r="AC108">
        <f t="shared" si="14"/>
        <v>204</v>
      </c>
      <c r="AD108">
        <f t="shared" si="15"/>
        <v>10</v>
      </c>
      <c r="AE108">
        <f t="shared" si="16"/>
        <v>2</v>
      </c>
      <c r="AF108">
        <f t="shared" si="17"/>
        <v>8</v>
      </c>
      <c r="AG108">
        <f t="shared" si="18"/>
        <v>25.5</v>
      </c>
    </row>
    <row r="109" spans="3:33">
      <c r="C109" t="s">
        <v>198</v>
      </c>
      <c r="D109" s="1">
        <v>23</v>
      </c>
      <c r="E109" s="1">
        <v>26</v>
      </c>
      <c r="F109" s="1">
        <v>21</v>
      </c>
      <c r="G109" s="1">
        <v>26</v>
      </c>
      <c r="H109" s="1">
        <v>0</v>
      </c>
      <c r="I109" s="1">
        <v>27</v>
      </c>
      <c r="J109" s="1">
        <v>22</v>
      </c>
      <c r="K109" s="1">
        <v>25</v>
      </c>
      <c r="L109" s="1">
        <v>0</v>
      </c>
      <c r="M109" s="1">
        <v>26</v>
      </c>
      <c r="N109" s="1">
        <v>30</v>
      </c>
      <c r="O109" s="1"/>
      <c r="P109" s="1"/>
      <c r="Q109" s="1"/>
      <c r="R109" s="1"/>
      <c r="S109" s="1"/>
      <c r="T109" s="1"/>
      <c r="U109" s="1"/>
      <c r="V109" s="1"/>
      <c r="W109" s="1"/>
      <c r="X109" s="1"/>
      <c r="Y109" s="1"/>
      <c r="Z109" s="1"/>
      <c r="AA109" s="1"/>
      <c r="AB109" s="1"/>
      <c r="AC109">
        <f t="shared" si="14"/>
        <v>226</v>
      </c>
      <c r="AD109">
        <f t="shared" si="15"/>
        <v>11</v>
      </c>
      <c r="AE109">
        <f t="shared" si="16"/>
        <v>2</v>
      </c>
      <c r="AF109">
        <f t="shared" si="17"/>
        <v>9</v>
      </c>
      <c r="AG109">
        <f t="shared" si="18"/>
        <v>25.111111111111111</v>
      </c>
    </row>
    <row r="110" spans="3:33">
      <c r="C110" t="s">
        <v>199</v>
      </c>
      <c r="D110" s="1">
        <v>27</v>
      </c>
      <c r="E110" s="1">
        <v>0</v>
      </c>
      <c r="F110" s="1">
        <v>22</v>
      </c>
      <c r="G110" s="1">
        <v>24</v>
      </c>
      <c r="H110" s="1">
        <v>27</v>
      </c>
      <c r="I110" s="1">
        <v>25</v>
      </c>
      <c r="J110" s="1">
        <v>27</v>
      </c>
      <c r="K110" s="1">
        <v>32</v>
      </c>
      <c r="L110" s="1">
        <v>0</v>
      </c>
      <c r="M110" s="1">
        <v>0</v>
      </c>
      <c r="N110" s="1">
        <v>25</v>
      </c>
      <c r="O110" s="1"/>
      <c r="P110" s="1"/>
      <c r="Q110" s="1"/>
      <c r="R110" s="1"/>
      <c r="S110" s="1"/>
      <c r="T110" s="1"/>
      <c r="U110" s="1"/>
      <c r="V110" s="1"/>
      <c r="W110" s="1"/>
      <c r="X110" s="1"/>
      <c r="Y110" s="1"/>
      <c r="Z110" s="1"/>
      <c r="AA110" s="1"/>
      <c r="AB110" s="1"/>
      <c r="AC110">
        <f t="shared" si="14"/>
        <v>209</v>
      </c>
      <c r="AD110">
        <f t="shared" si="15"/>
        <v>11</v>
      </c>
      <c r="AE110">
        <f t="shared" si="16"/>
        <v>3</v>
      </c>
      <c r="AF110">
        <f t="shared" si="17"/>
        <v>8</v>
      </c>
      <c r="AG110">
        <f t="shared" si="18"/>
        <v>26.125</v>
      </c>
    </row>
    <row r="111" spans="3:33">
      <c r="C111" t="s">
        <v>200</v>
      </c>
      <c r="D111" s="1">
        <v>22</v>
      </c>
      <c r="E111" s="1">
        <v>22</v>
      </c>
      <c r="F111" s="1">
        <v>0</v>
      </c>
      <c r="G111" s="1">
        <v>27</v>
      </c>
      <c r="H111" s="1">
        <v>28</v>
      </c>
      <c r="I111" s="1">
        <v>26</v>
      </c>
      <c r="J111" s="1">
        <v>21</v>
      </c>
      <c r="K111" s="1">
        <v>27</v>
      </c>
      <c r="L111" s="1">
        <v>20</v>
      </c>
      <c r="M111" s="1">
        <v>20</v>
      </c>
      <c r="N111" s="1"/>
      <c r="O111" s="1"/>
      <c r="P111" s="1"/>
      <c r="Q111" s="1"/>
      <c r="R111" s="1"/>
      <c r="S111" s="1"/>
      <c r="T111" s="1"/>
      <c r="U111" s="1"/>
      <c r="V111" s="1"/>
      <c r="W111" s="1"/>
      <c r="X111" s="1"/>
      <c r="Y111" s="1"/>
      <c r="Z111" s="1"/>
      <c r="AA111" s="1"/>
      <c r="AB111" s="1"/>
      <c r="AC111">
        <f t="shared" si="14"/>
        <v>213</v>
      </c>
      <c r="AD111">
        <f t="shared" si="15"/>
        <v>10</v>
      </c>
      <c r="AE111">
        <f t="shared" si="16"/>
        <v>1</v>
      </c>
      <c r="AF111">
        <f t="shared" si="17"/>
        <v>9</v>
      </c>
      <c r="AG111">
        <f t="shared" si="18"/>
        <v>23.666666666666668</v>
      </c>
    </row>
    <row r="112" spans="3:33">
      <c r="C112" t="s">
        <v>201</v>
      </c>
      <c r="D112" s="1">
        <v>0</v>
      </c>
      <c r="E112" s="1">
        <v>23</v>
      </c>
      <c r="F112" s="1">
        <v>29</v>
      </c>
      <c r="G112" s="1">
        <v>0</v>
      </c>
      <c r="H112" s="1">
        <v>26</v>
      </c>
      <c r="I112" s="1">
        <v>0</v>
      </c>
      <c r="J112" s="1">
        <v>0</v>
      </c>
      <c r="K112" s="1">
        <v>25</v>
      </c>
      <c r="L112" s="1">
        <v>28</v>
      </c>
      <c r="M112" s="1">
        <v>25</v>
      </c>
      <c r="N112" s="1">
        <v>26</v>
      </c>
      <c r="O112" s="1">
        <v>20</v>
      </c>
      <c r="P112" s="1"/>
      <c r="Q112" s="1"/>
      <c r="R112" s="1"/>
      <c r="S112" s="1"/>
      <c r="T112" s="1"/>
      <c r="U112" s="1"/>
      <c r="V112" s="1"/>
      <c r="W112" s="1"/>
      <c r="X112" s="1"/>
      <c r="Y112" s="1"/>
      <c r="Z112" s="1"/>
      <c r="AA112" s="1"/>
      <c r="AB112" s="1"/>
      <c r="AC112">
        <f t="shared" ref="AC112:AC115" si="19">SUM(D112:AB112)</f>
        <v>202</v>
      </c>
      <c r="AD112">
        <f t="shared" si="15"/>
        <v>12</v>
      </c>
      <c r="AE112">
        <f t="shared" si="16"/>
        <v>4</v>
      </c>
      <c r="AF112">
        <f t="shared" si="17"/>
        <v>8</v>
      </c>
      <c r="AG112">
        <f t="shared" si="18"/>
        <v>25.25</v>
      </c>
    </row>
    <row r="113" spans="3:33">
      <c r="C113" t="s">
        <v>202</v>
      </c>
      <c r="D113" s="1">
        <v>24</v>
      </c>
      <c r="E113" s="1">
        <v>24</v>
      </c>
      <c r="F113" s="1">
        <v>0</v>
      </c>
      <c r="G113" s="1">
        <v>21</v>
      </c>
      <c r="H113" s="1">
        <v>22</v>
      </c>
      <c r="I113" s="1">
        <v>0</v>
      </c>
      <c r="J113" s="1">
        <v>0</v>
      </c>
      <c r="K113" s="1">
        <v>22</v>
      </c>
      <c r="L113" s="1">
        <v>28</v>
      </c>
      <c r="M113" s="1">
        <v>23</v>
      </c>
      <c r="N113" s="1">
        <v>20</v>
      </c>
      <c r="O113" s="1">
        <v>68</v>
      </c>
      <c r="P113" s="1"/>
      <c r="Q113" s="1"/>
      <c r="R113" s="1"/>
      <c r="S113" s="1"/>
      <c r="T113" s="1"/>
      <c r="U113" s="1"/>
      <c r="V113" s="1"/>
      <c r="W113" s="1"/>
      <c r="X113" s="1"/>
      <c r="Y113" s="1"/>
      <c r="Z113" s="1"/>
      <c r="AA113" s="1"/>
      <c r="AB113" s="1"/>
      <c r="AC113">
        <f t="shared" si="19"/>
        <v>252</v>
      </c>
      <c r="AD113">
        <f t="shared" si="15"/>
        <v>12</v>
      </c>
      <c r="AE113">
        <f t="shared" si="16"/>
        <v>3</v>
      </c>
      <c r="AF113">
        <f t="shared" si="17"/>
        <v>9</v>
      </c>
      <c r="AG113">
        <f t="shared" si="18"/>
        <v>28</v>
      </c>
    </row>
    <row r="114" spans="3:33">
      <c r="C114" t="s">
        <v>203</v>
      </c>
      <c r="D114" s="1">
        <v>0</v>
      </c>
      <c r="E114" s="1">
        <v>25</v>
      </c>
      <c r="F114" s="1">
        <v>21</v>
      </c>
      <c r="G114" s="1">
        <v>22</v>
      </c>
      <c r="H114" s="1">
        <v>23</v>
      </c>
      <c r="I114" s="1">
        <v>23</v>
      </c>
      <c r="J114" s="1">
        <v>0</v>
      </c>
      <c r="K114" s="1">
        <v>21</v>
      </c>
      <c r="L114" s="1">
        <v>28</v>
      </c>
      <c r="M114" s="1">
        <v>24</v>
      </c>
      <c r="N114" s="1">
        <v>26</v>
      </c>
      <c r="O114" s="1"/>
      <c r="P114" s="1"/>
      <c r="Q114" s="1"/>
      <c r="R114" s="1"/>
      <c r="S114" s="1"/>
      <c r="T114" s="1"/>
      <c r="U114" s="1"/>
      <c r="V114" s="1"/>
      <c r="W114" s="1"/>
      <c r="X114" s="1"/>
      <c r="Y114" s="1"/>
      <c r="Z114" s="1"/>
      <c r="AA114" s="1"/>
      <c r="AB114" s="1"/>
      <c r="AC114">
        <f t="shared" si="19"/>
        <v>213</v>
      </c>
      <c r="AD114">
        <f t="shared" si="15"/>
        <v>11</v>
      </c>
      <c r="AE114">
        <f t="shared" si="16"/>
        <v>2</v>
      </c>
      <c r="AF114">
        <f t="shared" si="17"/>
        <v>9</v>
      </c>
      <c r="AG114">
        <f t="shared" si="18"/>
        <v>23.666666666666668</v>
      </c>
    </row>
    <row r="115" spans="3:33">
      <c r="C115" t="s">
        <v>204</v>
      </c>
      <c r="D115" s="1">
        <v>21</v>
      </c>
      <c r="E115" s="1">
        <v>23</v>
      </c>
      <c r="F115" s="1">
        <v>25</v>
      </c>
      <c r="G115" s="1">
        <v>0</v>
      </c>
      <c r="H115" s="1">
        <v>27</v>
      </c>
      <c r="I115" s="1">
        <v>22</v>
      </c>
      <c r="J115" s="1">
        <v>25</v>
      </c>
      <c r="K115" s="1">
        <v>24</v>
      </c>
      <c r="L115" s="1">
        <v>0</v>
      </c>
      <c r="M115" s="1">
        <v>30</v>
      </c>
      <c r="N115" s="1">
        <v>24</v>
      </c>
      <c r="O115" s="1"/>
      <c r="P115" s="1"/>
      <c r="Q115" s="1"/>
      <c r="R115" s="1"/>
      <c r="S115" s="1"/>
      <c r="T115" s="1"/>
      <c r="U115" s="1"/>
      <c r="V115" s="1"/>
      <c r="W115" s="1"/>
      <c r="X115" s="1"/>
      <c r="Y115" s="1"/>
      <c r="Z115" s="1"/>
      <c r="AA115" s="1"/>
      <c r="AB115" s="1"/>
      <c r="AC115">
        <f t="shared" si="19"/>
        <v>221</v>
      </c>
      <c r="AD115">
        <f t="shared" si="15"/>
        <v>11</v>
      </c>
      <c r="AE115">
        <f t="shared" si="16"/>
        <v>2</v>
      </c>
      <c r="AF115">
        <f t="shared" si="17"/>
        <v>9</v>
      </c>
      <c r="AG115">
        <f t="shared" si="18"/>
        <v>24.555555555555557</v>
      </c>
    </row>
    <row r="116" spans="3:33">
      <c r="AC116" t="s">
        <v>52</v>
      </c>
      <c r="AD116">
        <f>AVERAGE(AD16:AD115)</f>
        <v>10.75</v>
      </c>
      <c r="AE116">
        <f>AVERAGE(AE16:AE115)</f>
        <v>2.0699999999999998</v>
      </c>
      <c r="AF116">
        <f>AVERAGE(AF16:AF115)</f>
        <v>8.68</v>
      </c>
      <c r="AG116">
        <f>AVERAGE(AG16:AG115)</f>
        <v>24.679059523809524</v>
      </c>
    </row>
  </sheetData>
  <conditionalFormatting sqref="D3:R12">
    <cfRule type="colorScale" priority="4">
      <colorScale>
        <cfvo type="min"/>
        <cfvo type="max"/>
        <color rgb="FFFF7128"/>
        <color theme="9"/>
      </colorScale>
    </cfRule>
    <cfRule type="cellIs" dxfId="18" priority="6" operator="equal">
      <formula>0</formula>
    </cfRule>
  </conditionalFormatting>
  <conditionalFormatting sqref="D16:AB115">
    <cfRule type="colorScale" priority="1">
      <colorScale>
        <cfvo type="min"/>
        <cfvo type="max"/>
        <color rgb="FFFF7128"/>
        <color theme="9"/>
      </colorScale>
    </cfRule>
    <cfRule type="cellIs" dxfId="17" priority="3" operator="equal">
      <formula>0</formula>
    </cfRule>
  </conditionalFormatting>
  <conditionalFormatting sqref="E7">
    <cfRule type="colorScale" priority="5">
      <colorScale>
        <cfvo type="min"/>
        <cfvo type="max"/>
        <color rgb="FFFF7128"/>
        <color theme="9"/>
      </colorScale>
    </cfRule>
  </conditionalFormatting>
  <conditionalFormatting sqref="E20 T20 X20 AB20 E30 E40 E50 E60 E70 E80 E90 E100 E110 T30 T40 T50 T60 T70 T80 T90 T100 T110 X30 X40 X50 X60 X70 X80 X90 X100 X110 AB30 AB40 AB50 AB60 AB70 AB80 AB90 AB100 AB110">
    <cfRule type="colorScale" priority="2">
      <colorScale>
        <cfvo type="min"/>
        <cfvo type="max"/>
        <color rgb="FFFF7128"/>
        <color theme="9"/>
      </colorScale>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C9079A-06F2-49DA-9898-39AB62A07745}">
  <dimension ref="B2:AG116"/>
  <sheetViews>
    <sheetView topLeftCell="E93" workbookViewId="0">
      <selection activeCell="AA119" sqref="AA119"/>
    </sheetView>
  </sheetViews>
  <sheetFormatPr defaultRowHeight="15"/>
  <cols>
    <col min="2" max="2" width="21.85546875" bestFit="1" customWidth="1"/>
  </cols>
  <sheetData>
    <row r="2" spans="2:33">
      <c r="B2" t="s">
        <v>59</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33">
      <c r="C3" t="s">
        <v>18</v>
      </c>
      <c r="D3" s="1">
        <v>0</v>
      </c>
      <c r="E3" s="1">
        <v>0</v>
      </c>
      <c r="F3" s="1">
        <v>26</v>
      </c>
      <c r="G3" s="1">
        <v>0</v>
      </c>
      <c r="H3" s="1">
        <v>30</v>
      </c>
      <c r="I3" s="1">
        <v>29</v>
      </c>
      <c r="J3" s="1">
        <v>34</v>
      </c>
      <c r="K3" s="1">
        <v>29</v>
      </c>
      <c r="L3" s="1">
        <v>25</v>
      </c>
      <c r="M3" s="1">
        <v>34</v>
      </c>
      <c r="N3" s="1"/>
      <c r="O3" s="1"/>
      <c r="P3" s="1"/>
      <c r="Q3" s="1"/>
      <c r="R3" s="1"/>
      <c r="S3">
        <f>SUM(D3:R3)</f>
        <v>207</v>
      </c>
      <c r="T3">
        <f>COUNT(D3:R3)</f>
        <v>10</v>
      </c>
      <c r="U3">
        <f>COUNTIF(D3:R3,0)</f>
        <v>3</v>
      </c>
      <c r="V3">
        <f>T3-U3</f>
        <v>7</v>
      </c>
      <c r="W3">
        <f>S3/V3</f>
        <v>29.571428571428573</v>
      </c>
    </row>
    <row r="4" spans="2:33">
      <c r="C4" t="s">
        <v>31</v>
      </c>
      <c r="D4" s="1">
        <v>28</v>
      </c>
      <c r="E4" s="1">
        <v>33</v>
      </c>
      <c r="F4" s="1">
        <v>31</v>
      </c>
      <c r="G4" s="1">
        <v>32</v>
      </c>
      <c r="H4" s="1">
        <v>30</v>
      </c>
      <c r="I4" s="1">
        <v>32</v>
      </c>
      <c r="J4" s="1">
        <v>0</v>
      </c>
      <c r="K4" s="1">
        <v>30</v>
      </c>
      <c r="L4" s="1"/>
      <c r="M4" s="1"/>
      <c r="N4" s="1"/>
      <c r="O4" s="1"/>
      <c r="P4" s="1"/>
      <c r="Q4" s="1"/>
      <c r="R4" s="1"/>
      <c r="S4">
        <f t="shared" ref="S4:S12" si="0">SUM(D4:R4)</f>
        <v>216</v>
      </c>
      <c r="T4">
        <f t="shared" ref="T4:T12" si="1">COUNT(D4:R4)</f>
        <v>8</v>
      </c>
      <c r="U4">
        <f t="shared" ref="U4:U12" si="2">COUNTIF(D4:R4,0)</f>
        <v>1</v>
      </c>
      <c r="V4">
        <f t="shared" ref="V4:V12" si="3">T4-U4</f>
        <v>7</v>
      </c>
      <c r="W4">
        <f t="shared" ref="W4:W12" si="4">S4/V4</f>
        <v>30.857142857142858</v>
      </c>
    </row>
    <row r="5" spans="2:33">
      <c r="C5" t="s">
        <v>32</v>
      </c>
      <c r="D5" s="1">
        <v>31</v>
      </c>
      <c r="E5" s="1">
        <v>27</v>
      </c>
      <c r="F5" s="1">
        <v>33</v>
      </c>
      <c r="G5" s="1">
        <v>0</v>
      </c>
      <c r="H5" s="1">
        <v>0</v>
      </c>
      <c r="I5" s="1">
        <v>31</v>
      </c>
      <c r="J5" s="1">
        <v>0</v>
      </c>
      <c r="K5" s="1">
        <v>29</v>
      </c>
      <c r="L5" s="1">
        <v>32</v>
      </c>
      <c r="M5" s="1">
        <v>0</v>
      </c>
      <c r="N5" s="1">
        <v>25</v>
      </c>
      <c r="O5" s="1"/>
      <c r="P5" s="1"/>
      <c r="Q5" s="1"/>
      <c r="R5" s="1"/>
      <c r="S5">
        <f t="shared" si="0"/>
        <v>208</v>
      </c>
      <c r="T5">
        <f t="shared" si="1"/>
        <v>11</v>
      </c>
      <c r="U5">
        <f t="shared" si="2"/>
        <v>4</v>
      </c>
      <c r="V5">
        <f t="shared" si="3"/>
        <v>7</v>
      </c>
      <c r="W5">
        <f t="shared" si="4"/>
        <v>29.714285714285715</v>
      </c>
    </row>
    <row r="6" spans="2:33">
      <c r="C6" t="s">
        <v>33</v>
      </c>
      <c r="D6" s="1">
        <v>0</v>
      </c>
      <c r="E6" s="1">
        <v>28</v>
      </c>
      <c r="F6" s="1">
        <v>0</v>
      </c>
      <c r="G6" s="1">
        <v>34</v>
      </c>
      <c r="H6" s="1">
        <v>35</v>
      </c>
      <c r="I6" s="1">
        <v>0</v>
      </c>
      <c r="J6" s="1">
        <v>26</v>
      </c>
      <c r="K6" s="1">
        <v>0</v>
      </c>
      <c r="L6" s="1">
        <v>35</v>
      </c>
      <c r="M6" s="1">
        <v>29</v>
      </c>
      <c r="N6" s="1">
        <v>0</v>
      </c>
      <c r="O6" s="1">
        <v>27</v>
      </c>
      <c r="P6" s="1"/>
      <c r="Q6" s="1"/>
      <c r="R6" s="1"/>
      <c r="S6">
        <f t="shared" si="0"/>
        <v>214</v>
      </c>
      <c r="T6">
        <f t="shared" si="1"/>
        <v>12</v>
      </c>
      <c r="U6">
        <f t="shared" si="2"/>
        <v>5</v>
      </c>
      <c r="V6">
        <f t="shared" si="3"/>
        <v>7</v>
      </c>
      <c r="W6">
        <f t="shared" si="4"/>
        <v>30.571428571428573</v>
      </c>
    </row>
    <row r="7" spans="2:33">
      <c r="C7" t="s">
        <v>34</v>
      </c>
      <c r="D7" s="1">
        <v>28</v>
      </c>
      <c r="E7" s="1">
        <v>0</v>
      </c>
      <c r="F7" s="1">
        <v>34</v>
      </c>
      <c r="G7" s="1">
        <v>0</v>
      </c>
      <c r="H7" s="1">
        <v>30</v>
      </c>
      <c r="I7" s="1">
        <v>0</v>
      </c>
      <c r="J7" s="1">
        <v>0</v>
      </c>
      <c r="K7" s="1">
        <v>25</v>
      </c>
      <c r="L7" s="1">
        <v>33</v>
      </c>
      <c r="M7" s="1">
        <v>26</v>
      </c>
      <c r="N7" s="1">
        <v>0</v>
      </c>
      <c r="O7" s="1">
        <v>0</v>
      </c>
      <c r="P7" s="1">
        <v>27</v>
      </c>
      <c r="Q7" s="1"/>
      <c r="R7" s="1"/>
      <c r="S7">
        <f t="shared" si="0"/>
        <v>203</v>
      </c>
      <c r="T7">
        <f t="shared" si="1"/>
        <v>13</v>
      </c>
      <c r="U7">
        <f t="shared" si="2"/>
        <v>6</v>
      </c>
      <c r="V7">
        <f t="shared" si="3"/>
        <v>7</v>
      </c>
      <c r="W7">
        <f t="shared" si="4"/>
        <v>29</v>
      </c>
    </row>
    <row r="8" spans="2:33">
      <c r="C8" t="s">
        <v>35</v>
      </c>
      <c r="D8" s="1">
        <v>29</v>
      </c>
      <c r="E8" s="1">
        <v>29</v>
      </c>
      <c r="F8" s="1">
        <v>0</v>
      </c>
      <c r="G8" s="1">
        <v>0</v>
      </c>
      <c r="H8" s="1">
        <v>0</v>
      </c>
      <c r="I8" s="1">
        <v>35</v>
      </c>
      <c r="J8" s="1">
        <v>26</v>
      </c>
      <c r="K8" s="1">
        <v>0</v>
      </c>
      <c r="L8" s="1">
        <v>33</v>
      </c>
      <c r="M8" s="1">
        <v>0</v>
      </c>
      <c r="N8" s="1">
        <v>0</v>
      </c>
      <c r="O8" s="1">
        <v>30</v>
      </c>
      <c r="P8" s="1">
        <v>25</v>
      </c>
      <c r="Q8" s="1"/>
      <c r="R8" s="1"/>
      <c r="S8">
        <f t="shared" si="0"/>
        <v>207</v>
      </c>
      <c r="T8">
        <f t="shared" si="1"/>
        <v>13</v>
      </c>
      <c r="U8">
        <f t="shared" si="2"/>
        <v>6</v>
      </c>
      <c r="V8">
        <f t="shared" si="3"/>
        <v>7</v>
      </c>
      <c r="W8">
        <f t="shared" si="4"/>
        <v>29.571428571428573</v>
      </c>
    </row>
    <row r="9" spans="2:33">
      <c r="C9" t="s">
        <v>36</v>
      </c>
      <c r="D9" s="1">
        <v>28</v>
      </c>
      <c r="E9" s="1">
        <v>31</v>
      </c>
      <c r="F9" s="1">
        <v>28</v>
      </c>
      <c r="G9" s="1">
        <v>0</v>
      </c>
      <c r="H9" s="1">
        <v>34</v>
      </c>
      <c r="I9" s="1">
        <v>31</v>
      </c>
      <c r="J9" s="1">
        <v>27</v>
      </c>
      <c r="K9" s="1">
        <v>32</v>
      </c>
      <c r="L9" s="1"/>
      <c r="M9" s="1"/>
      <c r="N9" s="1"/>
      <c r="O9" s="1"/>
      <c r="P9" s="1"/>
      <c r="Q9" s="1"/>
      <c r="R9" s="1"/>
      <c r="S9">
        <f t="shared" si="0"/>
        <v>211</v>
      </c>
      <c r="T9">
        <f t="shared" si="1"/>
        <v>8</v>
      </c>
      <c r="U9">
        <f t="shared" si="2"/>
        <v>1</v>
      </c>
      <c r="V9">
        <f t="shared" si="3"/>
        <v>7</v>
      </c>
      <c r="W9">
        <f t="shared" si="4"/>
        <v>30.142857142857142</v>
      </c>
    </row>
    <row r="10" spans="2:33">
      <c r="C10" t="s">
        <v>37</v>
      </c>
      <c r="D10" s="1">
        <v>32</v>
      </c>
      <c r="E10" s="1">
        <v>0</v>
      </c>
      <c r="F10" s="1">
        <v>25</v>
      </c>
      <c r="G10" s="1">
        <v>27</v>
      </c>
      <c r="H10" s="1">
        <v>26</v>
      </c>
      <c r="I10" s="1">
        <v>0</v>
      </c>
      <c r="J10" s="1">
        <v>27</v>
      </c>
      <c r="K10" s="1">
        <v>31</v>
      </c>
      <c r="L10" s="1">
        <v>25</v>
      </c>
      <c r="M10" s="1">
        <v>27</v>
      </c>
      <c r="N10" s="1"/>
      <c r="O10" s="1"/>
      <c r="P10" s="1"/>
      <c r="Q10" s="1"/>
      <c r="R10" s="1"/>
      <c r="S10">
        <f t="shared" si="0"/>
        <v>220</v>
      </c>
      <c r="T10">
        <f t="shared" si="1"/>
        <v>10</v>
      </c>
      <c r="U10">
        <f t="shared" si="2"/>
        <v>2</v>
      </c>
      <c r="V10">
        <f t="shared" si="3"/>
        <v>8</v>
      </c>
      <c r="W10">
        <f t="shared" si="4"/>
        <v>27.5</v>
      </c>
    </row>
    <row r="11" spans="2:33">
      <c r="C11" t="s">
        <v>38</v>
      </c>
      <c r="D11" s="1">
        <v>29</v>
      </c>
      <c r="E11" s="1">
        <v>30</v>
      </c>
      <c r="F11" s="1">
        <v>0</v>
      </c>
      <c r="G11" s="1">
        <v>32</v>
      </c>
      <c r="H11" s="1">
        <v>29</v>
      </c>
      <c r="I11" s="1">
        <v>30</v>
      </c>
      <c r="J11" s="1">
        <v>27</v>
      </c>
      <c r="K11" s="1">
        <v>27</v>
      </c>
      <c r="L11" s="1"/>
      <c r="M11" s="1"/>
      <c r="N11" s="1"/>
      <c r="O11" s="1"/>
      <c r="P11" s="1"/>
      <c r="Q11" s="1"/>
      <c r="R11" s="1"/>
      <c r="S11">
        <f t="shared" si="0"/>
        <v>204</v>
      </c>
      <c r="T11">
        <f t="shared" si="1"/>
        <v>8</v>
      </c>
      <c r="U11">
        <f t="shared" si="2"/>
        <v>1</v>
      </c>
      <c r="V11">
        <f t="shared" si="3"/>
        <v>7</v>
      </c>
      <c r="W11">
        <f t="shared" si="4"/>
        <v>29.142857142857142</v>
      </c>
    </row>
    <row r="12" spans="2:33">
      <c r="C12" t="s">
        <v>39</v>
      </c>
      <c r="D12" s="1">
        <v>0</v>
      </c>
      <c r="E12" s="1">
        <v>0</v>
      </c>
      <c r="F12" s="1">
        <v>32</v>
      </c>
      <c r="G12" s="1">
        <v>33</v>
      </c>
      <c r="H12" s="1">
        <v>0</v>
      </c>
      <c r="I12" s="1">
        <v>35</v>
      </c>
      <c r="J12" s="1">
        <v>32</v>
      </c>
      <c r="K12" s="1">
        <v>29</v>
      </c>
      <c r="L12" s="1">
        <v>0</v>
      </c>
      <c r="M12" s="1">
        <v>26</v>
      </c>
      <c r="N12" s="1">
        <v>0</v>
      </c>
      <c r="O12" s="1">
        <v>0</v>
      </c>
      <c r="P12" s="1">
        <v>28</v>
      </c>
      <c r="Q12" s="1"/>
      <c r="R12" s="1"/>
      <c r="S12">
        <f t="shared" si="0"/>
        <v>215</v>
      </c>
      <c r="T12">
        <f t="shared" si="1"/>
        <v>13</v>
      </c>
      <c r="U12">
        <f t="shared" si="2"/>
        <v>6</v>
      </c>
      <c r="V12">
        <f t="shared" si="3"/>
        <v>7</v>
      </c>
      <c r="W12">
        <f t="shared" si="4"/>
        <v>30.714285714285715</v>
      </c>
    </row>
    <row r="13" spans="2:33">
      <c r="S13" t="s">
        <v>52</v>
      </c>
      <c r="T13">
        <f>AVERAGE(T3:T12)</f>
        <v>10.6</v>
      </c>
      <c r="U13">
        <f t="shared" ref="U13:W13" si="5">AVERAGE(U3:U12)</f>
        <v>3.5</v>
      </c>
      <c r="V13">
        <f t="shared" si="5"/>
        <v>7.1</v>
      </c>
      <c r="W13">
        <f t="shared" si="5"/>
        <v>29.678571428571434</v>
      </c>
    </row>
    <row r="15" spans="2:33">
      <c r="D15" t="s">
        <v>19</v>
      </c>
      <c r="E15" t="s">
        <v>20</v>
      </c>
      <c r="F15" t="s">
        <v>21</v>
      </c>
      <c r="G15" t="s">
        <v>22</v>
      </c>
      <c r="H15" t="s">
        <v>23</v>
      </c>
      <c r="I15" t="s">
        <v>24</v>
      </c>
      <c r="J15" t="s">
        <v>25</v>
      </c>
      <c r="K15" t="s">
        <v>26</v>
      </c>
      <c r="L15" t="s">
        <v>27</v>
      </c>
      <c r="M15" t="s">
        <v>28</v>
      </c>
      <c r="N15" t="s">
        <v>29</v>
      </c>
      <c r="O15" t="s">
        <v>30</v>
      </c>
      <c r="P15" t="s">
        <v>40</v>
      </c>
      <c r="Q15" t="s">
        <v>41</v>
      </c>
      <c r="R15" t="s">
        <v>42</v>
      </c>
      <c r="S15" t="s">
        <v>72</v>
      </c>
      <c r="T15" t="s">
        <v>73</v>
      </c>
      <c r="U15" t="s">
        <v>74</v>
      </c>
      <c r="V15" t="s">
        <v>75</v>
      </c>
      <c r="W15" t="s">
        <v>76</v>
      </c>
      <c r="X15" t="s">
        <v>80</v>
      </c>
      <c r="Y15" t="s">
        <v>81</v>
      </c>
      <c r="Z15" t="s">
        <v>82</v>
      </c>
      <c r="AA15" t="s">
        <v>83</v>
      </c>
      <c r="AB15" t="s">
        <v>84</v>
      </c>
      <c r="AC15" t="s">
        <v>50</v>
      </c>
      <c r="AD15" t="s">
        <v>49</v>
      </c>
      <c r="AE15" t="s">
        <v>48</v>
      </c>
      <c r="AF15" t="s">
        <v>51</v>
      </c>
      <c r="AG15" t="s">
        <v>77</v>
      </c>
    </row>
    <row r="16" spans="2:33">
      <c r="C16" t="s">
        <v>18</v>
      </c>
      <c r="D16" s="1">
        <v>26</v>
      </c>
      <c r="E16" s="1">
        <v>27</v>
      </c>
      <c r="F16" s="1">
        <v>32</v>
      </c>
      <c r="G16" s="1">
        <v>30</v>
      </c>
      <c r="H16" s="1">
        <v>33</v>
      </c>
      <c r="I16" s="1">
        <v>0</v>
      </c>
      <c r="J16" s="1">
        <v>0</v>
      </c>
      <c r="K16" s="1">
        <v>0</v>
      </c>
      <c r="L16" s="1">
        <v>30</v>
      </c>
      <c r="M16" s="1">
        <v>0</v>
      </c>
      <c r="N16" s="1">
        <v>37</v>
      </c>
      <c r="O16" s="1"/>
      <c r="P16" s="1"/>
      <c r="Q16" s="1"/>
      <c r="R16" s="1"/>
      <c r="S16" s="1"/>
      <c r="T16" s="1"/>
      <c r="U16" s="1"/>
      <c r="V16" s="1"/>
      <c r="W16" s="1"/>
      <c r="X16" s="1"/>
      <c r="Y16" s="1"/>
      <c r="Z16" s="1"/>
      <c r="AA16" s="1"/>
      <c r="AB16" s="1"/>
      <c r="AC16">
        <f t="shared" ref="AC16:AC47" si="6">SUM(D16:AB16)</f>
        <v>215</v>
      </c>
      <c r="AD16">
        <f t="shared" ref="AD16:AD47" si="7">COUNT(D16:AB16)</f>
        <v>11</v>
      </c>
      <c r="AE16">
        <f t="shared" ref="AE16:AE47" si="8">COUNTIF(D16:AB16,0)</f>
        <v>4</v>
      </c>
      <c r="AF16">
        <f t="shared" ref="AF16:AF79" si="9">AD16-AE16</f>
        <v>7</v>
      </c>
      <c r="AG16">
        <f t="shared" ref="AG16:AG79" si="10">AC16/AF16</f>
        <v>30.714285714285715</v>
      </c>
    </row>
    <row r="17" spans="3:33">
      <c r="C17" t="s">
        <v>31</v>
      </c>
      <c r="D17" s="1">
        <v>30</v>
      </c>
      <c r="E17" s="1">
        <v>0</v>
      </c>
      <c r="F17" s="1">
        <v>29</v>
      </c>
      <c r="G17" s="1">
        <v>0</v>
      </c>
      <c r="H17" s="1">
        <v>28</v>
      </c>
      <c r="I17" s="1">
        <v>0</v>
      </c>
      <c r="J17" s="1">
        <v>25</v>
      </c>
      <c r="K17" s="1">
        <v>30</v>
      </c>
      <c r="L17" s="1">
        <v>25</v>
      </c>
      <c r="M17" s="1">
        <v>27</v>
      </c>
      <c r="N17" s="1">
        <v>25</v>
      </c>
      <c r="O17" s="1"/>
      <c r="P17" s="1"/>
      <c r="Q17" s="1"/>
      <c r="R17" s="1"/>
      <c r="S17" s="1"/>
      <c r="T17" s="1"/>
      <c r="U17" s="1"/>
      <c r="V17" s="1"/>
      <c r="W17" s="1"/>
      <c r="X17" s="1"/>
      <c r="Y17" s="1"/>
      <c r="Z17" s="1"/>
      <c r="AA17" s="1"/>
      <c r="AB17" s="1"/>
      <c r="AC17">
        <f t="shared" si="6"/>
        <v>219</v>
      </c>
      <c r="AD17">
        <f t="shared" si="7"/>
        <v>11</v>
      </c>
      <c r="AE17">
        <f t="shared" si="8"/>
        <v>3</v>
      </c>
      <c r="AF17">
        <f t="shared" si="9"/>
        <v>8</v>
      </c>
      <c r="AG17">
        <f t="shared" si="10"/>
        <v>27.375</v>
      </c>
    </row>
    <row r="18" spans="3:33">
      <c r="C18" t="s">
        <v>32</v>
      </c>
      <c r="D18" s="1">
        <v>0</v>
      </c>
      <c r="E18" s="1">
        <v>34</v>
      </c>
      <c r="F18" s="1">
        <v>0</v>
      </c>
      <c r="G18" s="1">
        <v>34</v>
      </c>
      <c r="H18" s="1">
        <v>31</v>
      </c>
      <c r="I18" s="1">
        <v>0</v>
      </c>
      <c r="J18" s="1">
        <v>0</v>
      </c>
      <c r="K18" s="1">
        <v>0</v>
      </c>
      <c r="L18" s="1">
        <v>37</v>
      </c>
      <c r="M18" s="1">
        <v>31</v>
      </c>
      <c r="N18" s="1">
        <v>35</v>
      </c>
      <c r="O18" s="1"/>
      <c r="P18" s="1"/>
      <c r="Q18" s="1"/>
      <c r="R18" s="1"/>
      <c r="S18" s="1"/>
      <c r="T18" s="1"/>
      <c r="U18" s="1"/>
      <c r="V18" s="1"/>
      <c r="W18" s="1"/>
      <c r="X18" s="1"/>
      <c r="Y18" s="1"/>
      <c r="Z18" s="1"/>
      <c r="AA18" s="1"/>
      <c r="AB18" s="1"/>
      <c r="AC18">
        <f t="shared" si="6"/>
        <v>202</v>
      </c>
      <c r="AD18">
        <f t="shared" si="7"/>
        <v>11</v>
      </c>
      <c r="AE18">
        <f t="shared" si="8"/>
        <v>5</v>
      </c>
      <c r="AF18">
        <f t="shared" si="9"/>
        <v>6</v>
      </c>
      <c r="AG18">
        <f t="shared" si="10"/>
        <v>33.666666666666664</v>
      </c>
    </row>
    <row r="19" spans="3:33">
      <c r="C19" t="s">
        <v>33</v>
      </c>
      <c r="D19" s="1">
        <v>25</v>
      </c>
      <c r="E19" s="1">
        <v>25</v>
      </c>
      <c r="F19" s="1">
        <v>34</v>
      </c>
      <c r="G19" s="1">
        <v>30</v>
      </c>
      <c r="H19" s="1">
        <v>32</v>
      </c>
      <c r="I19" s="1">
        <v>34</v>
      </c>
      <c r="J19" s="1">
        <v>0</v>
      </c>
      <c r="K19" s="1">
        <v>0</v>
      </c>
      <c r="L19" s="1">
        <v>0</v>
      </c>
      <c r="M19" s="1">
        <v>0</v>
      </c>
      <c r="N19" s="1">
        <v>33</v>
      </c>
      <c r="O19" s="1"/>
      <c r="P19" s="1"/>
      <c r="Q19" s="1"/>
      <c r="R19" s="1"/>
      <c r="S19" s="1"/>
      <c r="T19" s="1"/>
      <c r="U19" s="1"/>
      <c r="V19" s="1"/>
      <c r="W19" s="1"/>
      <c r="X19" s="1"/>
      <c r="Y19" s="1"/>
      <c r="Z19" s="1"/>
      <c r="AA19" s="1"/>
      <c r="AB19" s="1"/>
      <c r="AC19">
        <f t="shared" si="6"/>
        <v>213</v>
      </c>
      <c r="AD19">
        <f t="shared" si="7"/>
        <v>11</v>
      </c>
      <c r="AE19">
        <f t="shared" si="8"/>
        <v>4</v>
      </c>
      <c r="AF19">
        <f t="shared" si="9"/>
        <v>7</v>
      </c>
      <c r="AG19">
        <f t="shared" si="10"/>
        <v>30.428571428571427</v>
      </c>
    </row>
    <row r="20" spans="3:33">
      <c r="C20" t="s">
        <v>34</v>
      </c>
      <c r="D20" s="1">
        <v>25</v>
      </c>
      <c r="E20" s="1">
        <v>35</v>
      </c>
      <c r="F20" s="1">
        <v>29</v>
      </c>
      <c r="G20" s="1">
        <v>0</v>
      </c>
      <c r="H20" s="1">
        <v>0</v>
      </c>
      <c r="I20" s="1">
        <v>0</v>
      </c>
      <c r="J20" s="1">
        <v>34</v>
      </c>
      <c r="K20" s="1">
        <v>0</v>
      </c>
      <c r="L20" s="1">
        <v>0</v>
      </c>
      <c r="M20" s="1">
        <v>0</v>
      </c>
      <c r="N20" s="1">
        <v>34</v>
      </c>
      <c r="O20" s="1">
        <v>0</v>
      </c>
      <c r="P20" s="1">
        <v>27</v>
      </c>
      <c r="Q20" s="1">
        <v>33</v>
      </c>
      <c r="R20" s="1"/>
      <c r="S20" s="1"/>
      <c r="T20" s="1"/>
      <c r="U20" s="1"/>
      <c r="V20" s="1"/>
      <c r="W20" s="1"/>
      <c r="X20" s="1"/>
      <c r="Y20" s="1"/>
      <c r="Z20" s="1"/>
      <c r="AA20" s="1"/>
      <c r="AB20" s="1"/>
      <c r="AC20">
        <f t="shared" si="6"/>
        <v>217</v>
      </c>
      <c r="AD20">
        <f t="shared" si="7"/>
        <v>14</v>
      </c>
      <c r="AE20">
        <f t="shared" si="8"/>
        <v>7</v>
      </c>
      <c r="AF20">
        <f t="shared" si="9"/>
        <v>7</v>
      </c>
      <c r="AG20">
        <f t="shared" si="10"/>
        <v>31</v>
      </c>
    </row>
    <row r="21" spans="3:33">
      <c r="C21" t="s">
        <v>35</v>
      </c>
      <c r="D21" s="1">
        <v>31</v>
      </c>
      <c r="E21" s="1">
        <v>32</v>
      </c>
      <c r="F21" s="1">
        <v>0</v>
      </c>
      <c r="G21" s="1">
        <v>0</v>
      </c>
      <c r="H21" s="1">
        <v>0</v>
      </c>
      <c r="I21" s="1">
        <v>0</v>
      </c>
      <c r="J21" s="1">
        <v>0</v>
      </c>
      <c r="K21" s="1">
        <v>26</v>
      </c>
      <c r="L21" s="1">
        <v>25</v>
      </c>
      <c r="M21" s="1">
        <v>0</v>
      </c>
      <c r="N21" s="1">
        <v>25</v>
      </c>
      <c r="O21" s="1">
        <v>32</v>
      </c>
      <c r="P21" s="1">
        <v>0</v>
      </c>
      <c r="Q21" s="1">
        <v>65</v>
      </c>
      <c r="R21" s="1"/>
      <c r="S21" s="1"/>
      <c r="T21" s="1"/>
      <c r="U21" s="1"/>
      <c r="V21" s="1"/>
      <c r="W21" s="1"/>
      <c r="X21" s="1"/>
      <c r="Y21" s="1"/>
      <c r="Z21" s="1"/>
      <c r="AA21" s="1"/>
      <c r="AB21" s="1"/>
      <c r="AC21">
        <f t="shared" si="6"/>
        <v>236</v>
      </c>
      <c r="AD21">
        <f t="shared" si="7"/>
        <v>14</v>
      </c>
      <c r="AE21">
        <f t="shared" si="8"/>
        <v>7</v>
      </c>
      <c r="AF21">
        <f t="shared" si="9"/>
        <v>7</v>
      </c>
      <c r="AG21">
        <f t="shared" si="10"/>
        <v>33.714285714285715</v>
      </c>
    </row>
    <row r="22" spans="3:33">
      <c r="C22" t="s">
        <v>36</v>
      </c>
      <c r="D22" s="1">
        <v>31</v>
      </c>
      <c r="E22" s="1">
        <v>30</v>
      </c>
      <c r="F22" s="1">
        <v>33</v>
      </c>
      <c r="G22" s="1">
        <v>35</v>
      </c>
      <c r="H22" s="1">
        <v>32</v>
      </c>
      <c r="I22" s="1">
        <v>29</v>
      </c>
      <c r="J22" s="1">
        <v>26</v>
      </c>
      <c r="K22" s="1"/>
      <c r="L22" s="1"/>
      <c r="M22" s="1"/>
      <c r="N22" s="1"/>
      <c r="O22" s="1"/>
      <c r="P22" s="1"/>
      <c r="Q22" s="1"/>
      <c r="R22" s="1"/>
      <c r="S22" s="1"/>
      <c r="T22" s="1"/>
      <c r="U22" s="1"/>
      <c r="V22" s="1"/>
      <c r="W22" s="1"/>
      <c r="X22" s="1"/>
      <c r="Y22" s="1"/>
      <c r="Z22" s="1"/>
      <c r="AA22" s="1"/>
      <c r="AB22" s="1"/>
      <c r="AC22">
        <f t="shared" si="6"/>
        <v>216</v>
      </c>
      <c r="AD22">
        <f t="shared" si="7"/>
        <v>7</v>
      </c>
      <c r="AE22">
        <f t="shared" si="8"/>
        <v>0</v>
      </c>
      <c r="AF22">
        <f t="shared" si="9"/>
        <v>7</v>
      </c>
      <c r="AG22">
        <f t="shared" si="10"/>
        <v>30.857142857142858</v>
      </c>
    </row>
    <row r="23" spans="3:33">
      <c r="C23" t="s">
        <v>37</v>
      </c>
      <c r="D23" s="1">
        <v>28</v>
      </c>
      <c r="E23" s="1">
        <v>28</v>
      </c>
      <c r="F23" s="1">
        <v>30</v>
      </c>
      <c r="G23" s="1">
        <v>33</v>
      </c>
      <c r="H23" s="1">
        <v>0</v>
      </c>
      <c r="I23" s="1">
        <v>27</v>
      </c>
      <c r="J23" s="1">
        <v>33</v>
      </c>
      <c r="K23" s="1">
        <v>33</v>
      </c>
      <c r="L23" s="1"/>
      <c r="M23" s="1"/>
      <c r="N23" s="1"/>
      <c r="O23" s="1"/>
      <c r="P23" s="1"/>
      <c r="Q23" s="1"/>
      <c r="R23" s="1"/>
      <c r="S23" s="1"/>
      <c r="T23" s="1"/>
      <c r="U23" s="1"/>
      <c r="V23" s="1"/>
      <c r="W23" s="1"/>
      <c r="X23" s="1"/>
      <c r="Y23" s="1"/>
      <c r="Z23" s="1"/>
      <c r="AA23" s="1"/>
      <c r="AB23" s="1"/>
      <c r="AC23">
        <f t="shared" si="6"/>
        <v>212</v>
      </c>
      <c r="AD23">
        <f t="shared" si="7"/>
        <v>8</v>
      </c>
      <c r="AE23">
        <f t="shared" si="8"/>
        <v>1</v>
      </c>
      <c r="AF23">
        <f t="shared" si="9"/>
        <v>7</v>
      </c>
      <c r="AG23">
        <f t="shared" si="10"/>
        <v>30.285714285714285</v>
      </c>
    </row>
    <row r="24" spans="3:33">
      <c r="C24" t="s">
        <v>38</v>
      </c>
      <c r="D24" s="1">
        <v>25</v>
      </c>
      <c r="E24" s="1">
        <v>0</v>
      </c>
      <c r="F24" s="1">
        <v>56</v>
      </c>
      <c r="G24" s="1">
        <v>30</v>
      </c>
      <c r="H24" s="1">
        <v>34</v>
      </c>
      <c r="I24" s="1">
        <v>36</v>
      </c>
      <c r="J24" s="1">
        <v>32</v>
      </c>
      <c r="K24" s="1"/>
      <c r="L24" s="1"/>
      <c r="M24" s="1"/>
      <c r="N24" s="1"/>
      <c r="O24" s="1"/>
      <c r="P24" s="1"/>
      <c r="Q24" s="1"/>
      <c r="R24" s="1"/>
      <c r="S24" s="1"/>
      <c r="T24" s="1"/>
      <c r="U24" s="1"/>
      <c r="V24" s="1"/>
      <c r="W24" s="1"/>
      <c r="X24" s="1"/>
      <c r="Y24" s="1"/>
      <c r="Z24" s="1"/>
      <c r="AA24" s="1"/>
      <c r="AB24" s="1"/>
      <c r="AC24">
        <f t="shared" si="6"/>
        <v>213</v>
      </c>
      <c r="AD24">
        <f t="shared" si="7"/>
        <v>7</v>
      </c>
      <c r="AE24">
        <f t="shared" si="8"/>
        <v>1</v>
      </c>
      <c r="AF24">
        <f t="shared" si="9"/>
        <v>6</v>
      </c>
      <c r="AG24">
        <f t="shared" si="10"/>
        <v>35.5</v>
      </c>
    </row>
    <row r="25" spans="3:33">
      <c r="C25" t="s">
        <v>39</v>
      </c>
      <c r="D25" s="1">
        <v>33</v>
      </c>
      <c r="E25" s="1">
        <v>26</v>
      </c>
      <c r="F25" s="1">
        <v>33</v>
      </c>
      <c r="G25" s="1">
        <v>0</v>
      </c>
      <c r="H25" s="1">
        <v>0</v>
      </c>
      <c r="I25" s="1">
        <v>31</v>
      </c>
      <c r="J25" s="1">
        <v>26</v>
      </c>
      <c r="K25" s="1">
        <v>27</v>
      </c>
      <c r="L25" s="1">
        <v>28</v>
      </c>
      <c r="M25" s="1"/>
      <c r="N25" s="1"/>
      <c r="O25" s="1"/>
      <c r="P25" s="1"/>
      <c r="Q25" s="1"/>
      <c r="R25" s="1"/>
      <c r="S25" s="1"/>
      <c r="T25" s="1"/>
      <c r="U25" s="1"/>
      <c r="V25" s="1"/>
      <c r="W25" s="1"/>
      <c r="X25" s="1"/>
      <c r="Y25" s="1"/>
      <c r="Z25" s="1"/>
      <c r="AA25" s="1"/>
      <c r="AB25" s="1"/>
      <c r="AC25">
        <f t="shared" si="6"/>
        <v>204</v>
      </c>
      <c r="AD25">
        <f t="shared" si="7"/>
        <v>9</v>
      </c>
      <c r="AE25">
        <f t="shared" si="8"/>
        <v>2</v>
      </c>
      <c r="AF25">
        <f t="shared" si="9"/>
        <v>7</v>
      </c>
      <c r="AG25">
        <f t="shared" si="10"/>
        <v>29.142857142857142</v>
      </c>
    </row>
    <row r="26" spans="3:33">
      <c r="C26" t="s">
        <v>115</v>
      </c>
      <c r="D26" s="1">
        <v>0</v>
      </c>
      <c r="E26" s="1">
        <v>30</v>
      </c>
      <c r="F26" s="1">
        <v>0</v>
      </c>
      <c r="G26" s="1">
        <v>32</v>
      </c>
      <c r="H26" s="1">
        <v>25</v>
      </c>
      <c r="I26" s="1">
        <v>29</v>
      </c>
      <c r="J26" s="1">
        <v>35</v>
      </c>
      <c r="K26" s="1">
        <v>29</v>
      </c>
      <c r="L26" s="1">
        <v>0</v>
      </c>
      <c r="M26" s="1">
        <v>0</v>
      </c>
      <c r="N26" s="1">
        <v>29</v>
      </c>
      <c r="O26" s="1"/>
      <c r="P26" s="1"/>
      <c r="Q26" s="1"/>
      <c r="R26" s="1"/>
      <c r="S26" s="1"/>
      <c r="T26" s="1"/>
      <c r="U26" s="1"/>
      <c r="V26" s="1"/>
      <c r="W26" s="1"/>
      <c r="X26" s="1"/>
      <c r="Y26" s="1"/>
      <c r="Z26" s="1"/>
      <c r="AA26" s="1"/>
      <c r="AB26" s="1"/>
      <c r="AC26">
        <f t="shared" si="6"/>
        <v>209</v>
      </c>
      <c r="AD26">
        <f t="shared" si="7"/>
        <v>11</v>
      </c>
      <c r="AE26">
        <f t="shared" si="8"/>
        <v>4</v>
      </c>
      <c r="AF26">
        <f t="shared" si="9"/>
        <v>7</v>
      </c>
      <c r="AG26">
        <f t="shared" si="10"/>
        <v>29.857142857142858</v>
      </c>
    </row>
    <row r="27" spans="3:33">
      <c r="C27" t="s">
        <v>116</v>
      </c>
      <c r="D27" s="1">
        <v>27</v>
      </c>
      <c r="E27" s="1">
        <v>30</v>
      </c>
      <c r="F27" s="1">
        <v>0</v>
      </c>
      <c r="G27" s="1">
        <v>0</v>
      </c>
      <c r="H27" s="1">
        <v>31</v>
      </c>
      <c r="I27" s="1">
        <v>0</v>
      </c>
      <c r="J27" s="1">
        <v>29</v>
      </c>
      <c r="K27" s="1">
        <v>26</v>
      </c>
      <c r="L27" s="1">
        <v>26</v>
      </c>
      <c r="M27" s="1">
        <v>27</v>
      </c>
      <c r="N27" s="1">
        <v>0</v>
      </c>
      <c r="O27" s="1">
        <v>0</v>
      </c>
      <c r="P27" s="1">
        <v>28</v>
      </c>
      <c r="Q27" s="1"/>
      <c r="R27" s="1"/>
      <c r="S27" s="1"/>
      <c r="T27" s="1"/>
      <c r="U27" s="1"/>
      <c r="V27" s="1"/>
      <c r="W27" s="1"/>
      <c r="X27" s="1"/>
      <c r="Y27" s="1"/>
      <c r="Z27" s="1"/>
      <c r="AA27" s="1"/>
      <c r="AB27" s="1"/>
      <c r="AC27">
        <f t="shared" si="6"/>
        <v>224</v>
      </c>
      <c r="AD27">
        <f t="shared" si="7"/>
        <v>13</v>
      </c>
      <c r="AE27">
        <f t="shared" si="8"/>
        <v>5</v>
      </c>
      <c r="AF27">
        <f t="shared" si="9"/>
        <v>8</v>
      </c>
      <c r="AG27">
        <f t="shared" si="10"/>
        <v>28</v>
      </c>
    </row>
    <row r="28" spans="3:33">
      <c r="C28" t="s">
        <v>117</v>
      </c>
      <c r="D28" s="1">
        <v>29</v>
      </c>
      <c r="E28" s="1">
        <v>26</v>
      </c>
      <c r="F28" s="1">
        <v>0</v>
      </c>
      <c r="G28" s="1">
        <v>33</v>
      </c>
      <c r="H28" s="1">
        <v>30</v>
      </c>
      <c r="I28" s="1">
        <v>26</v>
      </c>
      <c r="J28" s="1">
        <v>28</v>
      </c>
      <c r="K28" s="1">
        <v>0</v>
      </c>
      <c r="L28" s="1">
        <v>27</v>
      </c>
      <c r="M28" s="1">
        <v>0</v>
      </c>
      <c r="N28" s="1">
        <v>0</v>
      </c>
      <c r="O28" s="1">
        <v>0</v>
      </c>
      <c r="P28" s="1">
        <v>28</v>
      </c>
      <c r="Q28" s="1"/>
      <c r="R28" s="1"/>
      <c r="S28" s="1"/>
      <c r="T28" s="1"/>
      <c r="U28" s="1"/>
      <c r="V28" s="1"/>
      <c r="W28" s="1"/>
      <c r="X28" s="1"/>
      <c r="Y28" s="1"/>
      <c r="Z28" s="1"/>
      <c r="AA28" s="1"/>
      <c r="AB28" s="1"/>
      <c r="AC28">
        <f t="shared" si="6"/>
        <v>227</v>
      </c>
      <c r="AD28">
        <f t="shared" si="7"/>
        <v>13</v>
      </c>
      <c r="AE28">
        <f t="shared" si="8"/>
        <v>5</v>
      </c>
      <c r="AF28">
        <f t="shared" si="9"/>
        <v>8</v>
      </c>
      <c r="AG28">
        <f t="shared" si="10"/>
        <v>28.375</v>
      </c>
    </row>
    <row r="29" spans="3:33">
      <c r="C29" t="s">
        <v>118</v>
      </c>
      <c r="D29" s="1">
        <v>29</v>
      </c>
      <c r="E29" s="1">
        <v>0</v>
      </c>
      <c r="F29" s="1">
        <v>28</v>
      </c>
      <c r="G29" s="1">
        <v>33</v>
      </c>
      <c r="H29" s="1">
        <v>28</v>
      </c>
      <c r="I29" s="1">
        <v>28</v>
      </c>
      <c r="J29" s="1">
        <v>36</v>
      </c>
      <c r="K29" s="1">
        <v>26</v>
      </c>
      <c r="L29" s="1"/>
      <c r="M29" s="1"/>
      <c r="N29" s="1"/>
      <c r="O29" s="1"/>
      <c r="P29" s="1"/>
      <c r="Q29" s="1"/>
      <c r="R29" s="1"/>
      <c r="S29" s="1"/>
      <c r="T29" s="1"/>
      <c r="U29" s="1"/>
      <c r="V29" s="1"/>
      <c r="W29" s="1"/>
      <c r="X29" s="1"/>
      <c r="Y29" s="1"/>
      <c r="Z29" s="1"/>
      <c r="AA29" s="1"/>
      <c r="AB29" s="1"/>
      <c r="AC29">
        <f t="shared" si="6"/>
        <v>208</v>
      </c>
      <c r="AD29">
        <f t="shared" si="7"/>
        <v>8</v>
      </c>
      <c r="AE29">
        <f t="shared" si="8"/>
        <v>1</v>
      </c>
      <c r="AF29">
        <f t="shared" si="9"/>
        <v>7</v>
      </c>
      <c r="AG29">
        <f t="shared" si="10"/>
        <v>29.714285714285715</v>
      </c>
    </row>
    <row r="30" spans="3:33">
      <c r="C30" t="s">
        <v>119</v>
      </c>
      <c r="D30" s="1">
        <v>37</v>
      </c>
      <c r="E30" s="1">
        <v>31</v>
      </c>
      <c r="F30" s="1">
        <v>33</v>
      </c>
      <c r="G30" s="1">
        <v>0</v>
      </c>
      <c r="H30" s="1">
        <v>27</v>
      </c>
      <c r="I30" s="1">
        <v>31</v>
      </c>
      <c r="J30" s="1">
        <v>26</v>
      </c>
      <c r="K30" s="1">
        <v>0</v>
      </c>
      <c r="L30" s="1">
        <v>0</v>
      </c>
      <c r="M30" s="1">
        <v>31</v>
      </c>
      <c r="N30" s="1"/>
      <c r="O30" s="1"/>
      <c r="P30" s="1"/>
      <c r="Q30" s="1"/>
      <c r="R30" s="1"/>
      <c r="S30" s="1"/>
      <c r="T30" s="1"/>
      <c r="U30" s="1"/>
      <c r="V30" s="1"/>
      <c r="W30" s="1"/>
      <c r="X30" s="1"/>
      <c r="Y30" s="1"/>
      <c r="Z30" s="1"/>
      <c r="AA30" s="1"/>
      <c r="AB30" s="1"/>
      <c r="AC30">
        <f t="shared" si="6"/>
        <v>216</v>
      </c>
      <c r="AD30">
        <f t="shared" si="7"/>
        <v>10</v>
      </c>
      <c r="AE30">
        <f t="shared" si="8"/>
        <v>3</v>
      </c>
      <c r="AF30">
        <f t="shared" si="9"/>
        <v>7</v>
      </c>
      <c r="AG30">
        <f t="shared" si="10"/>
        <v>30.857142857142858</v>
      </c>
    </row>
    <row r="31" spans="3:33">
      <c r="C31" t="s">
        <v>120</v>
      </c>
      <c r="D31" s="1">
        <v>0</v>
      </c>
      <c r="E31" s="1">
        <v>0</v>
      </c>
      <c r="F31" s="1">
        <v>28</v>
      </c>
      <c r="G31" s="1">
        <v>27</v>
      </c>
      <c r="H31" s="1">
        <v>0</v>
      </c>
      <c r="I31" s="1">
        <v>27</v>
      </c>
      <c r="J31" s="1">
        <v>34</v>
      </c>
      <c r="K31" s="1">
        <v>28</v>
      </c>
      <c r="L31" s="1">
        <v>26</v>
      </c>
      <c r="M31" s="1">
        <v>30</v>
      </c>
      <c r="N31" s="1"/>
      <c r="O31" s="1"/>
      <c r="P31" s="1"/>
      <c r="Q31" s="1"/>
      <c r="R31" s="1"/>
      <c r="S31" s="1"/>
      <c r="T31" s="1"/>
      <c r="U31" s="1"/>
      <c r="V31" s="1"/>
      <c r="W31" s="1"/>
      <c r="X31" s="1"/>
      <c r="Y31" s="1"/>
      <c r="Z31" s="1"/>
      <c r="AA31" s="1"/>
      <c r="AB31" s="1"/>
      <c r="AC31">
        <f t="shared" si="6"/>
        <v>200</v>
      </c>
      <c r="AD31">
        <f t="shared" si="7"/>
        <v>10</v>
      </c>
      <c r="AE31">
        <f t="shared" si="8"/>
        <v>3</v>
      </c>
      <c r="AF31">
        <f t="shared" si="9"/>
        <v>7</v>
      </c>
      <c r="AG31">
        <f t="shared" si="10"/>
        <v>28.571428571428573</v>
      </c>
    </row>
    <row r="32" spans="3:33">
      <c r="C32" t="s">
        <v>121</v>
      </c>
      <c r="D32" s="1">
        <v>26</v>
      </c>
      <c r="E32" s="1">
        <v>26</v>
      </c>
      <c r="F32" s="1">
        <v>31</v>
      </c>
      <c r="G32" s="1">
        <v>33</v>
      </c>
      <c r="H32" s="1">
        <v>32</v>
      </c>
      <c r="I32" s="1">
        <v>32</v>
      </c>
      <c r="J32" s="1">
        <v>0</v>
      </c>
      <c r="K32" s="1">
        <v>25</v>
      </c>
      <c r="L32" s="1"/>
      <c r="M32" s="1"/>
      <c r="N32" s="1"/>
      <c r="O32" s="1"/>
      <c r="P32" s="1"/>
      <c r="Q32" s="1"/>
      <c r="R32" s="1"/>
      <c r="S32" s="1"/>
      <c r="T32" s="1"/>
      <c r="U32" s="1"/>
      <c r="V32" s="1"/>
      <c r="W32" s="1"/>
      <c r="X32" s="1"/>
      <c r="Y32" s="1"/>
      <c r="Z32" s="1"/>
      <c r="AA32" s="1"/>
      <c r="AB32" s="1"/>
      <c r="AC32">
        <f t="shared" si="6"/>
        <v>205</v>
      </c>
      <c r="AD32">
        <f t="shared" si="7"/>
        <v>8</v>
      </c>
      <c r="AE32">
        <f t="shared" si="8"/>
        <v>1</v>
      </c>
      <c r="AF32">
        <f t="shared" si="9"/>
        <v>7</v>
      </c>
      <c r="AG32">
        <f t="shared" si="10"/>
        <v>29.285714285714285</v>
      </c>
    </row>
    <row r="33" spans="3:33">
      <c r="C33" t="s">
        <v>122</v>
      </c>
      <c r="D33" s="1">
        <v>0</v>
      </c>
      <c r="E33" s="1">
        <v>37</v>
      </c>
      <c r="F33" s="1">
        <v>25</v>
      </c>
      <c r="G33" s="1">
        <v>0</v>
      </c>
      <c r="H33" s="1">
        <v>34</v>
      </c>
      <c r="I33" s="1">
        <v>28</v>
      </c>
      <c r="J33" s="1">
        <v>31</v>
      </c>
      <c r="K33" s="1">
        <v>29</v>
      </c>
      <c r="L33" s="1">
        <v>0</v>
      </c>
      <c r="M33" s="1">
        <v>0</v>
      </c>
      <c r="N33" s="1">
        <v>26</v>
      </c>
      <c r="O33" s="1"/>
      <c r="P33" s="1"/>
      <c r="Q33" s="1"/>
      <c r="R33" s="1"/>
      <c r="S33" s="1"/>
      <c r="T33" s="1"/>
      <c r="U33" s="1"/>
      <c r="V33" s="1"/>
      <c r="W33" s="1"/>
      <c r="X33" s="1"/>
      <c r="Y33" s="1"/>
      <c r="Z33" s="1"/>
      <c r="AA33" s="1"/>
      <c r="AB33" s="1"/>
      <c r="AC33">
        <f t="shared" si="6"/>
        <v>210</v>
      </c>
      <c r="AD33">
        <f t="shared" si="7"/>
        <v>11</v>
      </c>
      <c r="AE33">
        <f t="shared" si="8"/>
        <v>4</v>
      </c>
      <c r="AF33">
        <f t="shared" si="9"/>
        <v>7</v>
      </c>
      <c r="AG33">
        <f t="shared" si="10"/>
        <v>30</v>
      </c>
    </row>
    <row r="34" spans="3:33">
      <c r="C34" t="s">
        <v>123</v>
      </c>
      <c r="D34" s="1">
        <v>28</v>
      </c>
      <c r="E34" s="1">
        <v>0</v>
      </c>
      <c r="F34" s="1">
        <v>26</v>
      </c>
      <c r="G34" s="1">
        <v>0</v>
      </c>
      <c r="H34" s="1">
        <v>0</v>
      </c>
      <c r="I34" s="1">
        <v>33</v>
      </c>
      <c r="J34" s="1">
        <v>26</v>
      </c>
      <c r="K34" s="1">
        <v>28</v>
      </c>
      <c r="L34" s="1">
        <v>0</v>
      </c>
      <c r="M34" s="1">
        <v>27</v>
      </c>
      <c r="N34" s="1">
        <v>28</v>
      </c>
      <c r="O34" s="1">
        <v>28</v>
      </c>
      <c r="P34" s="1"/>
      <c r="Q34" s="1"/>
      <c r="R34" s="1"/>
      <c r="S34" s="1"/>
      <c r="T34" s="1"/>
      <c r="U34" s="1"/>
      <c r="V34" s="1"/>
      <c r="W34" s="1"/>
      <c r="X34" s="1"/>
      <c r="Y34" s="1"/>
      <c r="Z34" s="1"/>
      <c r="AA34" s="1"/>
      <c r="AB34" s="1"/>
      <c r="AC34">
        <f t="shared" si="6"/>
        <v>224</v>
      </c>
      <c r="AD34">
        <f t="shared" si="7"/>
        <v>12</v>
      </c>
      <c r="AE34">
        <f t="shared" si="8"/>
        <v>4</v>
      </c>
      <c r="AF34">
        <f t="shared" si="9"/>
        <v>8</v>
      </c>
      <c r="AG34">
        <f t="shared" si="10"/>
        <v>28</v>
      </c>
    </row>
    <row r="35" spans="3:33">
      <c r="C35" t="s">
        <v>124</v>
      </c>
      <c r="D35" s="1">
        <v>0</v>
      </c>
      <c r="E35" s="1">
        <v>0</v>
      </c>
      <c r="F35" s="1">
        <v>26</v>
      </c>
      <c r="G35" s="1">
        <v>69</v>
      </c>
      <c r="H35" s="1">
        <v>31</v>
      </c>
      <c r="I35" s="1">
        <v>25</v>
      </c>
      <c r="J35" s="1">
        <v>0</v>
      </c>
      <c r="K35" s="1">
        <v>27</v>
      </c>
      <c r="L35" s="1">
        <v>28</v>
      </c>
      <c r="M35" s="1"/>
      <c r="N35" s="1"/>
      <c r="O35" s="1"/>
      <c r="P35" s="1"/>
      <c r="Q35" s="1"/>
      <c r="R35" s="1"/>
      <c r="S35" s="1"/>
      <c r="T35" s="1"/>
      <c r="U35" s="1"/>
      <c r="V35" s="1"/>
      <c r="W35" s="1"/>
      <c r="X35" s="1"/>
      <c r="Y35" s="1"/>
      <c r="Z35" s="1"/>
      <c r="AA35" s="1"/>
      <c r="AB35" s="1"/>
      <c r="AC35">
        <f t="shared" si="6"/>
        <v>206</v>
      </c>
      <c r="AD35">
        <f t="shared" si="7"/>
        <v>9</v>
      </c>
      <c r="AE35">
        <f t="shared" si="8"/>
        <v>3</v>
      </c>
      <c r="AF35">
        <f t="shared" si="9"/>
        <v>6</v>
      </c>
      <c r="AG35">
        <f t="shared" si="10"/>
        <v>34.333333333333336</v>
      </c>
    </row>
    <row r="36" spans="3:33">
      <c r="C36" t="s">
        <v>125</v>
      </c>
      <c r="D36" s="1">
        <v>32</v>
      </c>
      <c r="E36" s="1">
        <v>0</v>
      </c>
      <c r="F36" s="1">
        <v>0</v>
      </c>
      <c r="G36" s="1">
        <v>29</v>
      </c>
      <c r="H36" s="1">
        <v>28</v>
      </c>
      <c r="I36" s="1">
        <v>28</v>
      </c>
      <c r="J36" s="1">
        <v>25</v>
      </c>
      <c r="K36" s="1">
        <v>0</v>
      </c>
      <c r="L36" s="1">
        <v>32</v>
      </c>
      <c r="M36" s="1">
        <v>29</v>
      </c>
      <c r="N36" s="1"/>
      <c r="O36" s="1"/>
      <c r="P36" s="1"/>
      <c r="Q36" s="1"/>
      <c r="R36" s="1"/>
      <c r="S36" s="1"/>
      <c r="T36" s="1"/>
      <c r="U36" s="1"/>
      <c r="V36" s="1"/>
      <c r="W36" s="1"/>
      <c r="X36" s="1"/>
      <c r="Y36" s="1"/>
      <c r="Z36" s="1"/>
      <c r="AA36" s="1"/>
      <c r="AB36" s="1"/>
      <c r="AC36">
        <f t="shared" si="6"/>
        <v>203</v>
      </c>
      <c r="AD36">
        <f t="shared" si="7"/>
        <v>10</v>
      </c>
      <c r="AE36">
        <f t="shared" si="8"/>
        <v>3</v>
      </c>
      <c r="AF36">
        <f t="shared" si="9"/>
        <v>7</v>
      </c>
      <c r="AG36">
        <f t="shared" si="10"/>
        <v>29</v>
      </c>
    </row>
    <row r="37" spans="3:33">
      <c r="C37" t="s">
        <v>126</v>
      </c>
      <c r="D37" s="1">
        <v>27</v>
      </c>
      <c r="E37" s="1">
        <v>27</v>
      </c>
      <c r="F37" s="1">
        <v>0</v>
      </c>
      <c r="G37" s="1">
        <v>28</v>
      </c>
      <c r="H37" s="1">
        <v>29</v>
      </c>
      <c r="I37" s="1">
        <v>32</v>
      </c>
      <c r="J37" s="1">
        <v>25</v>
      </c>
      <c r="K37" s="1">
        <v>32</v>
      </c>
      <c r="L37" s="1"/>
      <c r="M37" s="1"/>
      <c r="N37" s="1"/>
      <c r="O37" s="1"/>
      <c r="P37" s="1"/>
      <c r="Q37" s="1"/>
      <c r="R37" s="1"/>
      <c r="S37" s="1"/>
      <c r="T37" s="1"/>
      <c r="U37" s="1"/>
      <c r="V37" s="1"/>
      <c r="W37" s="1"/>
      <c r="X37" s="1"/>
      <c r="Y37" s="1"/>
      <c r="Z37" s="1"/>
      <c r="AA37" s="1"/>
      <c r="AB37" s="1"/>
      <c r="AC37">
        <f t="shared" si="6"/>
        <v>200</v>
      </c>
      <c r="AD37">
        <f t="shared" si="7"/>
        <v>8</v>
      </c>
      <c r="AE37">
        <f t="shared" si="8"/>
        <v>1</v>
      </c>
      <c r="AF37">
        <f t="shared" si="9"/>
        <v>7</v>
      </c>
      <c r="AG37">
        <f t="shared" si="10"/>
        <v>28.571428571428573</v>
      </c>
    </row>
    <row r="38" spans="3:33">
      <c r="C38" t="s">
        <v>127</v>
      </c>
      <c r="D38" s="1">
        <v>25</v>
      </c>
      <c r="E38" s="1">
        <v>65</v>
      </c>
      <c r="F38" s="1">
        <v>25</v>
      </c>
      <c r="G38" s="1">
        <v>32</v>
      </c>
      <c r="H38" s="1">
        <v>0</v>
      </c>
      <c r="I38" s="1">
        <v>25</v>
      </c>
      <c r="J38" s="1">
        <v>27</v>
      </c>
      <c r="K38" s="1">
        <v>25</v>
      </c>
      <c r="L38" s="1"/>
      <c r="M38" s="1"/>
      <c r="N38" s="1"/>
      <c r="O38" s="1"/>
      <c r="P38" s="1"/>
      <c r="Q38" s="1"/>
      <c r="R38" s="1"/>
      <c r="S38" s="1"/>
      <c r="T38" s="1"/>
      <c r="U38" s="1"/>
      <c r="V38" s="1"/>
      <c r="W38" s="1"/>
      <c r="X38" s="1"/>
      <c r="Y38" s="1"/>
      <c r="Z38" s="1"/>
      <c r="AA38" s="1"/>
      <c r="AB38" s="1"/>
      <c r="AC38">
        <f t="shared" si="6"/>
        <v>224</v>
      </c>
      <c r="AD38">
        <f t="shared" si="7"/>
        <v>8</v>
      </c>
      <c r="AE38">
        <f t="shared" si="8"/>
        <v>1</v>
      </c>
      <c r="AF38">
        <f t="shared" si="9"/>
        <v>7</v>
      </c>
      <c r="AG38">
        <f t="shared" si="10"/>
        <v>32</v>
      </c>
    </row>
    <row r="39" spans="3:33">
      <c r="C39" t="s">
        <v>128</v>
      </c>
      <c r="D39" s="1">
        <v>29</v>
      </c>
      <c r="E39" s="1">
        <v>30</v>
      </c>
      <c r="F39" s="1">
        <v>32</v>
      </c>
      <c r="G39" s="1">
        <v>0</v>
      </c>
      <c r="H39" s="1">
        <v>0</v>
      </c>
      <c r="I39" s="1">
        <v>35</v>
      </c>
      <c r="J39" s="1">
        <v>27</v>
      </c>
      <c r="K39" s="1">
        <v>28</v>
      </c>
      <c r="L39" s="1">
        <v>27</v>
      </c>
      <c r="M39" s="1"/>
      <c r="N39" s="1"/>
      <c r="O39" s="1"/>
      <c r="P39" s="1"/>
      <c r="Q39" s="1"/>
      <c r="R39" s="1"/>
      <c r="S39" s="1"/>
      <c r="T39" s="1"/>
      <c r="U39" s="1"/>
      <c r="V39" s="1"/>
      <c r="W39" s="1"/>
      <c r="X39" s="1"/>
      <c r="Y39" s="1"/>
      <c r="Z39" s="1"/>
      <c r="AA39" s="1"/>
      <c r="AB39" s="1"/>
      <c r="AC39">
        <f t="shared" si="6"/>
        <v>208</v>
      </c>
      <c r="AD39">
        <f t="shared" si="7"/>
        <v>9</v>
      </c>
      <c r="AE39">
        <f t="shared" si="8"/>
        <v>2</v>
      </c>
      <c r="AF39">
        <f t="shared" si="9"/>
        <v>7</v>
      </c>
      <c r="AG39">
        <f t="shared" si="10"/>
        <v>29.714285714285715</v>
      </c>
    </row>
    <row r="40" spans="3:33">
      <c r="C40" t="s">
        <v>129</v>
      </c>
      <c r="D40" s="1">
        <v>0</v>
      </c>
      <c r="E40" s="1">
        <v>25</v>
      </c>
      <c r="F40" s="1">
        <v>31</v>
      </c>
      <c r="G40" s="1">
        <v>0</v>
      </c>
      <c r="H40" s="1">
        <v>28</v>
      </c>
      <c r="I40" s="1">
        <v>30</v>
      </c>
      <c r="J40" s="1">
        <v>0</v>
      </c>
      <c r="K40" s="1">
        <v>26</v>
      </c>
      <c r="L40" s="1">
        <v>25</v>
      </c>
      <c r="M40" s="1">
        <v>0</v>
      </c>
      <c r="N40" s="1">
        <v>28</v>
      </c>
      <c r="O40" s="1">
        <v>30</v>
      </c>
      <c r="P40" s="1"/>
      <c r="Q40" s="1"/>
      <c r="R40" s="1"/>
      <c r="S40" s="1"/>
      <c r="T40" s="1"/>
      <c r="U40" s="1"/>
      <c r="V40" s="1"/>
      <c r="W40" s="1"/>
      <c r="X40" s="1"/>
      <c r="Y40" s="1"/>
      <c r="Z40" s="1"/>
      <c r="AA40" s="1"/>
      <c r="AB40" s="1"/>
      <c r="AC40">
        <f t="shared" si="6"/>
        <v>223</v>
      </c>
      <c r="AD40">
        <f t="shared" si="7"/>
        <v>12</v>
      </c>
      <c r="AE40">
        <f t="shared" si="8"/>
        <v>4</v>
      </c>
      <c r="AF40">
        <f t="shared" si="9"/>
        <v>8</v>
      </c>
      <c r="AG40">
        <f t="shared" si="10"/>
        <v>27.875</v>
      </c>
    </row>
    <row r="41" spans="3:33">
      <c r="C41" t="s">
        <v>130</v>
      </c>
      <c r="D41" s="1">
        <v>26</v>
      </c>
      <c r="E41" s="1">
        <v>0</v>
      </c>
      <c r="F41" s="1">
        <v>0</v>
      </c>
      <c r="G41" s="1">
        <v>29</v>
      </c>
      <c r="H41" s="1">
        <v>28</v>
      </c>
      <c r="I41" s="1">
        <v>0</v>
      </c>
      <c r="J41" s="1">
        <v>25</v>
      </c>
      <c r="K41" s="1">
        <v>0</v>
      </c>
      <c r="L41" s="1">
        <v>26</v>
      </c>
      <c r="M41" s="1">
        <v>26</v>
      </c>
      <c r="N41" s="1">
        <v>30</v>
      </c>
      <c r="O41" s="1">
        <v>34</v>
      </c>
      <c r="P41" s="1"/>
      <c r="Q41" s="1"/>
      <c r="R41" s="1"/>
      <c r="S41" s="1"/>
      <c r="T41" s="1"/>
      <c r="U41" s="1"/>
      <c r="V41" s="1"/>
      <c r="W41" s="1"/>
      <c r="X41" s="1"/>
      <c r="Y41" s="1"/>
      <c r="Z41" s="1"/>
      <c r="AA41" s="1"/>
      <c r="AB41" s="1"/>
      <c r="AC41">
        <f t="shared" si="6"/>
        <v>224</v>
      </c>
      <c r="AD41">
        <f t="shared" si="7"/>
        <v>12</v>
      </c>
      <c r="AE41">
        <f t="shared" si="8"/>
        <v>4</v>
      </c>
      <c r="AF41">
        <f t="shared" si="9"/>
        <v>8</v>
      </c>
      <c r="AG41">
        <f t="shared" si="10"/>
        <v>28</v>
      </c>
    </row>
    <row r="42" spans="3:33">
      <c r="C42" t="s">
        <v>131</v>
      </c>
      <c r="D42" s="1">
        <v>31</v>
      </c>
      <c r="E42" s="1">
        <v>0</v>
      </c>
      <c r="F42" s="1">
        <v>0</v>
      </c>
      <c r="G42" s="1">
        <v>0</v>
      </c>
      <c r="H42" s="1">
        <v>30</v>
      </c>
      <c r="I42" s="1">
        <v>25</v>
      </c>
      <c r="J42" s="1">
        <v>29</v>
      </c>
      <c r="K42" s="1">
        <v>28</v>
      </c>
      <c r="L42" s="1">
        <v>0</v>
      </c>
      <c r="M42" s="1">
        <v>35</v>
      </c>
      <c r="N42" s="1">
        <v>0</v>
      </c>
      <c r="O42" s="1">
        <v>0</v>
      </c>
      <c r="P42" s="1">
        <v>25</v>
      </c>
      <c r="Q42" s="1"/>
      <c r="R42" s="1"/>
      <c r="S42" s="1"/>
      <c r="T42" s="1"/>
      <c r="U42" s="1"/>
      <c r="V42" s="1"/>
      <c r="W42" s="1"/>
      <c r="X42" s="1"/>
      <c r="Y42" s="1"/>
      <c r="Z42" s="1"/>
      <c r="AA42" s="1"/>
      <c r="AB42" s="1"/>
      <c r="AC42">
        <f t="shared" si="6"/>
        <v>203</v>
      </c>
      <c r="AD42">
        <f t="shared" si="7"/>
        <v>13</v>
      </c>
      <c r="AE42">
        <f t="shared" si="8"/>
        <v>6</v>
      </c>
      <c r="AF42">
        <f t="shared" si="9"/>
        <v>7</v>
      </c>
      <c r="AG42">
        <f t="shared" si="10"/>
        <v>29</v>
      </c>
    </row>
    <row r="43" spans="3:33">
      <c r="C43" t="s">
        <v>132</v>
      </c>
      <c r="D43" s="1">
        <v>32</v>
      </c>
      <c r="E43" s="1">
        <v>0</v>
      </c>
      <c r="F43" s="1">
        <v>0</v>
      </c>
      <c r="G43" s="1">
        <v>25</v>
      </c>
      <c r="H43" s="1">
        <v>25</v>
      </c>
      <c r="I43" s="1">
        <v>30</v>
      </c>
      <c r="J43" s="1">
        <v>25</v>
      </c>
      <c r="K43" s="1">
        <v>0</v>
      </c>
      <c r="L43" s="1">
        <v>30</v>
      </c>
      <c r="M43" s="1">
        <v>34</v>
      </c>
      <c r="N43" s="1"/>
      <c r="O43" s="1"/>
      <c r="P43" s="1"/>
      <c r="Q43" s="1"/>
      <c r="R43" s="1"/>
      <c r="S43" s="1"/>
      <c r="T43" s="1"/>
      <c r="U43" s="1"/>
      <c r="V43" s="1"/>
      <c r="W43" s="1"/>
      <c r="X43" s="1"/>
      <c r="Y43" s="1"/>
      <c r="Z43" s="1"/>
      <c r="AA43" s="1"/>
      <c r="AB43" s="1"/>
      <c r="AC43">
        <f t="shared" si="6"/>
        <v>201</v>
      </c>
      <c r="AD43">
        <f t="shared" si="7"/>
        <v>10</v>
      </c>
      <c r="AE43">
        <f t="shared" si="8"/>
        <v>3</v>
      </c>
      <c r="AF43">
        <f t="shared" si="9"/>
        <v>7</v>
      </c>
      <c r="AG43">
        <f t="shared" si="10"/>
        <v>28.714285714285715</v>
      </c>
    </row>
    <row r="44" spans="3:33">
      <c r="C44" t="s">
        <v>133</v>
      </c>
      <c r="D44" s="1">
        <v>0</v>
      </c>
      <c r="E44" s="1">
        <v>29</v>
      </c>
      <c r="F44" s="1">
        <v>27</v>
      </c>
      <c r="G44" s="1">
        <v>32</v>
      </c>
      <c r="H44" s="1">
        <v>26</v>
      </c>
      <c r="I44" s="1">
        <v>0</v>
      </c>
      <c r="J44" s="1">
        <v>30</v>
      </c>
      <c r="K44" s="1">
        <v>30</v>
      </c>
      <c r="L44" s="1">
        <v>34</v>
      </c>
      <c r="M44" s="1"/>
      <c r="N44" s="1"/>
      <c r="O44" s="1"/>
      <c r="P44" s="1"/>
      <c r="Q44" s="1"/>
      <c r="R44" s="1"/>
      <c r="S44" s="1"/>
      <c r="T44" s="1"/>
      <c r="U44" s="1"/>
      <c r="V44" s="1"/>
      <c r="W44" s="1"/>
      <c r="X44" s="1"/>
      <c r="Y44" s="1"/>
      <c r="Z44" s="1"/>
      <c r="AA44" s="1"/>
      <c r="AB44" s="1"/>
      <c r="AC44">
        <f t="shared" si="6"/>
        <v>208</v>
      </c>
      <c r="AD44">
        <f t="shared" si="7"/>
        <v>9</v>
      </c>
      <c r="AE44">
        <f t="shared" si="8"/>
        <v>2</v>
      </c>
      <c r="AF44">
        <f t="shared" si="9"/>
        <v>7</v>
      </c>
      <c r="AG44">
        <f t="shared" si="10"/>
        <v>29.714285714285715</v>
      </c>
    </row>
    <row r="45" spans="3:33">
      <c r="C45" t="s">
        <v>134</v>
      </c>
      <c r="D45" s="1">
        <v>0</v>
      </c>
      <c r="E45" s="1">
        <v>28</v>
      </c>
      <c r="F45" s="1">
        <v>27</v>
      </c>
      <c r="G45" s="1">
        <v>29</v>
      </c>
      <c r="H45" s="1">
        <v>0</v>
      </c>
      <c r="I45" s="1">
        <v>0</v>
      </c>
      <c r="J45" s="1">
        <v>35</v>
      </c>
      <c r="K45" s="1">
        <v>30</v>
      </c>
      <c r="L45" s="1">
        <v>0</v>
      </c>
      <c r="M45" s="1">
        <v>0</v>
      </c>
      <c r="N45" s="1">
        <v>28</v>
      </c>
      <c r="O45" s="1">
        <v>36</v>
      </c>
      <c r="P45" s="1"/>
      <c r="Q45" s="1"/>
      <c r="R45" s="1"/>
      <c r="S45" s="1"/>
      <c r="T45" s="1"/>
      <c r="U45" s="1"/>
      <c r="V45" s="1"/>
      <c r="W45" s="1"/>
      <c r="X45" s="1"/>
      <c r="Y45" s="1"/>
      <c r="Z45" s="1"/>
      <c r="AA45" s="1"/>
      <c r="AB45" s="1"/>
      <c r="AC45">
        <f t="shared" si="6"/>
        <v>213</v>
      </c>
      <c r="AD45">
        <f t="shared" si="7"/>
        <v>12</v>
      </c>
      <c r="AE45">
        <f t="shared" si="8"/>
        <v>5</v>
      </c>
      <c r="AF45">
        <f t="shared" si="9"/>
        <v>7</v>
      </c>
      <c r="AG45">
        <f t="shared" si="10"/>
        <v>30.428571428571427</v>
      </c>
    </row>
    <row r="46" spans="3:33">
      <c r="C46" t="s">
        <v>135</v>
      </c>
      <c r="D46" s="1">
        <v>36</v>
      </c>
      <c r="E46" s="1">
        <v>25</v>
      </c>
      <c r="F46" s="1">
        <v>27</v>
      </c>
      <c r="G46" s="1">
        <v>37</v>
      </c>
      <c r="H46" s="1">
        <v>33</v>
      </c>
      <c r="I46" s="1">
        <v>30</v>
      </c>
      <c r="J46" s="1">
        <v>35</v>
      </c>
      <c r="K46" s="1"/>
      <c r="L46" s="1"/>
      <c r="M46" s="1"/>
      <c r="N46" s="1"/>
      <c r="O46" s="1"/>
      <c r="P46" s="1"/>
      <c r="Q46" s="1"/>
      <c r="R46" s="1"/>
      <c r="S46" s="1"/>
      <c r="T46" s="1"/>
      <c r="U46" s="1"/>
      <c r="V46" s="1"/>
      <c r="W46" s="1"/>
      <c r="X46" s="1"/>
      <c r="Y46" s="1"/>
      <c r="Z46" s="1"/>
      <c r="AA46" s="1"/>
      <c r="AB46" s="1"/>
      <c r="AC46">
        <f t="shared" si="6"/>
        <v>223</v>
      </c>
      <c r="AD46">
        <f t="shared" si="7"/>
        <v>7</v>
      </c>
      <c r="AE46">
        <f t="shared" si="8"/>
        <v>0</v>
      </c>
      <c r="AF46">
        <f t="shared" si="9"/>
        <v>7</v>
      </c>
      <c r="AG46">
        <f t="shared" si="10"/>
        <v>31.857142857142858</v>
      </c>
    </row>
    <row r="47" spans="3:33">
      <c r="C47" t="s">
        <v>136</v>
      </c>
      <c r="D47" s="1">
        <v>0</v>
      </c>
      <c r="E47" s="1">
        <v>33</v>
      </c>
      <c r="F47" s="1">
        <v>28</v>
      </c>
      <c r="G47" s="1">
        <v>31</v>
      </c>
      <c r="H47" s="1">
        <v>0</v>
      </c>
      <c r="I47" s="1">
        <v>26</v>
      </c>
      <c r="J47" s="1">
        <v>0</v>
      </c>
      <c r="K47" s="1">
        <v>32</v>
      </c>
      <c r="L47" s="1">
        <v>27</v>
      </c>
      <c r="M47" s="1">
        <v>26</v>
      </c>
      <c r="N47" s="1"/>
      <c r="O47" s="1"/>
      <c r="P47" s="1"/>
      <c r="Q47" s="1"/>
      <c r="R47" s="1"/>
      <c r="S47" s="1"/>
      <c r="T47" s="1"/>
      <c r="U47" s="1"/>
      <c r="V47" s="1"/>
      <c r="W47" s="1"/>
      <c r="X47" s="1"/>
      <c r="Y47" s="1"/>
      <c r="Z47" s="1"/>
      <c r="AA47" s="1"/>
      <c r="AB47" s="1"/>
      <c r="AC47">
        <f t="shared" si="6"/>
        <v>203</v>
      </c>
      <c r="AD47">
        <f t="shared" si="7"/>
        <v>10</v>
      </c>
      <c r="AE47">
        <f t="shared" si="8"/>
        <v>3</v>
      </c>
      <c r="AF47">
        <f t="shared" si="9"/>
        <v>7</v>
      </c>
      <c r="AG47">
        <f t="shared" si="10"/>
        <v>29</v>
      </c>
    </row>
    <row r="48" spans="3:33">
      <c r="C48" t="s">
        <v>137</v>
      </c>
      <c r="D48" s="1">
        <v>31</v>
      </c>
      <c r="E48" s="1">
        <v>34</v>
      </c>
      <c r="F48" s="1">
        <v>0</v>
      </c>
      <c r="G48" s="1">
        <v>29</v>
      </c>
      <c r="H48" s="1">
        <v>32</v>
      </c>
      <c r="I48" s="1">
        <v>0</v>
      </c>
      <c r="J48" s="1">
        <v>0</v>
      </c>
      <c r="K48" s="1">
        <v>28</v>
      </c>
      <c r="L48" s="1">
        <v>32</v>
      </c>
      <c r="M48" s="1">
        <v>31</v>
      </c>
      <c r="N48" s="1"/>
      <c r="O48" s="1"/>
      <c r="P48" s="1"/>
      <c r="Q48" s="1"/>
      <c r="R48" s="1"/>
      <c r="S48" s="1"/>
      <c r="T48" s="1"/>
      <c r="U48" s="1"/>
      <c r="V48" s="1"/>
      <c r="W48" s="1"/>
      <c r="X48" s="1"/>
      <c r="Y48" s="1"/>
      <c r="Z48" s="1"/>
      <c r="AA48" s="1"/>
      <c r="AB48" s="1"/>
      <c r="AC48">
        <f t="shared" ref="AC48:AC79" si="11">SUM(D48:AB48)</f>
        <v>217</v>
      </c>
      <c r="AD48">
        <f t="shared" ref="AD48:AD79" si="12">COUNT(D48:AB48)</f>
        <v>10</v>
      </c>
      <c r="AE48">
        <f t="shared" ref="AE48:AE79" si="13">COUNTIF(D48:AB48,0)</f>
        <v>3</v>
      </c>
      <c r="AF48">
        <f t="shared" si="9"/>
        <v>7</v>
      </c>
      <c r="AG48">
        <f t="shared" si="10"/>
        <v>31</v>
      </c>
    </row>
    <row r="49" spans="3:33">
      <c r="C49" t="s">
        <v>138</v>
      </c>
      <c r="D49" s="1">
        <v>27</v>
      </c>
      <c r="E49" s="1">
        <v>26</v>
      </c>
      <c r="F49" s="1">
        <v>0</v>
      </c>
      <c r="G49" s="1">
        <v>0</v>
      </c>
      <c r="H49" s="1">
        <v>29</v>
      </c>
      <c r="I49" s="1">
        <v>28</v>
      </c>
      <c r="J49" s="1">
        <v>0</v>
      </c>
      <c r="K49" s="1">
        <v>35</v>
      </c>
      <c r="L49" s="1">
        <v>0</v>
      </c>
      <c r="M49" s="1">
        <v>34</v>
      </c>
      <c r="N49" s="1">
        <v>32</v>
      </c>
      <c r="O49" s="1"/>
      <c r="P49" s="1"/>
      <c r="Q49" s="1"/>
      <c r="R49" s="1"/>
      <c r="S49" s="1"/>
      <c r="T49" s="1"/>
      <c r="U49" s="1"/>
      <c r="V49" s="1"/>
      <c r="W49" s="1"/>
      <c r="X49" s="1"/>
      <c r="Y49" s="1"/>
      <c r="Z49" s="1"/>
      <c r="AA49" s="1"/>
      <c r="AB49" s="1"/>
      <c r="AC49">
        <f t="shared" si="11"/>
        <v>211</v>
      </c>
      <c r="AD49">
        <f t="shared" si="12"/>
        <v>11</v>
      </c>
      <c r="AE49">
        <f t="shared" si="13"/>
        <v>4</v>
      </c>
      <c r="AF49">
        <f t="shared" si="9"/>
        <v>7</v>
      </c>
      <c r="AG49">
        <f t="shared" si="10"/>
        <v>30.142857142857142</v>
      </c>
    </row>
    <row r="50" spans="3:33">
      <c r="C50" t="s">
        <v>139</v>
      </c>
      <c r="D50" s="1">
        <v>25</v>
      </c>
      <c r="E50" s="1">
        <v>0</v>
      </c>
      <c r="F50" s="1">
        <v>31</v>
      </c>
      <c r="G50" s="1">
        <v>34</v>
      </c>
      <c r="H50" s="1">
        <v>30</v>
      </c>
      <c r="I50" s="1">
        <v>28</v>
      </c>
      <c r="J50" s="1">
        <v>34</v>
      </c>
      <c r="K50" s="1">
        <v>25</v>
      </c>
      <c r="L50" s="1"/>
      <c r="M50" s="1"/>
      <c r="N50" s="1"/>
      <c r="O50" s="1"/>
      <c r="P50" s="1"/>
      <c r="Q50" s="1"/>
      <c r="R50" s="1"/>
      <c r="S50" s="1"/>
      <c r="T50" s="1"/>
      <c r="U50" s="1"/>
      <c r="V50" s="1"/>
      <c r="W50" s="1"/>
      <c r="X50" s="1"/>
      <c r="Y50" s="1"/>
      <c r="Z50" s="1"/>
      <c r="AA50" s="1"/>
      <c r="AB50" s="1"/>
      <c r="AC50">
        <f t="shared" si="11"/>
        <v>207</v>
      </c>
      <c r="AD50">
        <f t="shared" si="12"/>
        <v>8</v>
      </c>
      <c r="AE50">
        <f t="shared" si="13"/>
        <v>1</v>
      </c>
      <c r="AF50">
        <f t="shared" si="9"/>
        <v>7</v>
      </c>
      <c r="AG50">
        <f t="shared" si="10"/>
        <v>29.571428571428573</v>
      </c>
    </row>
    <row r="51" spans="3:33">
      <c r="C51" t="s">
        <v>140</v>
      </c>
      <c r="D51" s="1">
        <v>25</v>
      </c>
      <c r="E51" s="1">
        <v>33</v>
      </c>
      <c r="F51" s="1">
        <v>30</v>
      </c>
      <c r="G51" s="1">
        <v>27</v>
      </c>
      <c r="H51" s="1">
        <v>0</v>
      </c>
      <c r="I51" s="1">
        <v>28</v>
      </c>
      <c r="J51" s="1">
        <v>0</v>
      </c>
      <c r="K51" s="1">
        <v>0</v>
      </c>
      <c r="L51" s="1">
        <v>0</v>
      </c>
      <c r="M51" s="1">
        <v>0</v>
      </c>
      <c r="N51" s="1">
        <v>33</v>
      </c>
      <c r="O51" s="1">
        <v>0</v>
      </c>
      <c r="P51" s="1">
        <v>33</v>
      </c>
      <c r="Q51" s="1"/>
      <c r="R51" s="1"/>
      <c r="S51" s="1"/>
      <c r="T51" s="1"/>
      <c r="U51" s="1"/>
      <c r="V51" s="1"/>
      <c r="W51" s="1"/>
      <c r="X51" s="1"/>
      <c r="Y51" s="1"/>
      <c r="Z51" s="1"/>
      <c r="AA51" s="1"/>
      <c r="AB51" s="1"/>
      <c r="AC51">
        <f t="shared" si="11"/>
        <v>209</v>
      </c>
      <c r="AD51">
        <f t="shared" si="12"/>
        <v>13</v>
      </c>
      <c r="AE51">
        <f t="shared" si="13"/>
        <v>6</v>
      </c>
      <c r="AF51">
        <f t="shared" si="9"/>
        <v>7</v>
      </c>
      <c r="AG51">
        <f t="shared" si="10"/>
        <v>29.857142857142858</v>
      </c>
    </row>
    <row r="52" spans="3:33">
      <c r="C52" t="s">
        <v>141</v>
      </c>
      <c r="D52" s="1">
        <v>25</v>
      </c>
      <c r="E52" s="1">
        <v>31</v>
      </c>
      <c r="F52" s="1">
        <v>0</v>
      </c>
      <c r="G52" s="1">
        <v>33</v>
      </c>
      <c r="H52" s="1">
        <v>0</v>
      </c>
      <c r="I52" s="1">
        <v>26</v>
      </c>
      <c r="J52" s="1">
        <v>26</v>
      </c>
      <c r="K52" s="1">
        <v>0</v>
      </c>
      <c r="L52" s="1">
        <v>33</v>
      </c>
      <c r="M52" s="1">
        <v>34</v>
      </c>
      <c r="N52" s="1"/>
      <c r="O52" s="1"/>
      <c r="P52" s="1"/>
      <c r="Q52" s="1"/>
      <c r="R52" s="1"/>
      <c r="S52" s="1"/>
      <c r="T52" s="1"/>
      <c r="U52" s="1"/>
      <c r="V52" s="1"/>
      <c r="W52" s="1"/>
      <c r="X52" s="1"/>
      <c r="Y52" s="1"/>
      <c r="Z52" s="1"/>
      <c r="AA52" s="1"/>
      <c r="AB52" s="1"/>
      <c r="AC52">
        <f t="shared" si="11"/>
        <v>208</v>
      </c>
      <c r="AD52">
        <f t="shared" si="12"/>
        <v>10</v>
      </c>
      <c r="AE52">
        <f t="shared" si="13"/>
        <v>3</v>
      </c>
      <c r="AF52">
        <f t="shared" si="9"/>
        <v>7</v>
      </c>
      <c r="AG52">
        <f t="shared" si="10"/>
        <v>29.714285714285715</v>
      </c>
    </row>
    <row r="53" spans="3:33">
      <c r="C53" t="s">
        <v>142</v>
      </c>
      <c r="D53" s="1">
        <v>0</v>
      </c>
      <c r="E53" s="1">
        <v>0</v>
      </c>
      <c r="F53" s="1">
        <v>29</v>
      </c>
      <c r="G53" s="1">
        <v>28</v>
      </c>
      <c r="H53" s="1">
        <v>0</v>
      </c>
      <c r="I53" s="1">
        <v>0</v>
      </c>
      <c r="J53" s="1">
        <v>33</v>
      </c>
      <c r="K53" s="1">
        <v>0</v>
      </c>
      <c r="L53" s="1">
        <v>31</v>
      </c>
      <c r="M53" s="1">
        <v>31</v>
      </c>
      <c r="N53" s="1">
        <v>32</v>
      </c>
      <c r="O53" s="1">
        <v>31</v>
      </c>
      <c r="P53" s="1"/>
      <c r="Q53" s="1"/>
      <c r="R53" s="1"/>
      <c r="S53" s="1"/>
      <c r="T53" s="1"/>
      <c r="U53" s="1"/>
      <c r="V53" s="1"/>
      <c r="W53" s="1"/>
      <c r="X53" s="1"/>
      <c r="Y53" s="1"/>
      <c r="Z53" s="1"/>
      <c r="AA53" s="1"/>
      <c r="AB53" s="1"/>
      <c r="AC53">
        <f t="shared" si="11"/>
        <v>215</v>
      </c>
      <c r="AD53">
        <f t="shared" si="12"/>
        <v>12</v>
      </c>
      <c r="AE53">
        <f t="shared" si="13"/>
        <v>5</v>
      </c>
      <c r="AF53">
        <f t="shared" si="9"/>
        <v>7</v>
      </c>
      <c r="AG53">
        <f t="shared" si="10"/>
        <v>30.714285714285715</v>
      </c>
    </row>
    <row r="54" spans="3:33">
      <c r="C54" t="s">
        <v>143</v>
      </c>
      <c r="D54" s="1">
        <v>25</v>
      </c>
      <c r="E54" s="1">
        <v>0</v>
      </c>
      <c r="F54" s="1">
        <v>28</v>
      </c>
      <c r="G54" s="1">
        <v>35</v>
      </c>
      <c r="H54" s="1">
        <v>31</v>
      </c>
      <c r="I54" s="1">
        <v>30</v>
      </c>
      <c r="J54" s="1">
        <v>28</v>
      </c>
      <c r="K54" s="1">
        <v>32</v>
      </c>
      <c r="L54" s="1"/>
      <c r="M54" s="1"/>
      <c r="N54" s="1"/>
      <c r="O54" s="1"/>
      <c r="P54" s="1"/>
      <c r="Q54" s="1"/>
      <c r="R54" s="1"/>
      <c r="S54" s="1"/>
      <c r="T54" s="1"/>
      <c r="U54" s="1"/>
      <c r="V54" s="1"/>
      <c r="W54" s="1"/>
      <c r="X54" s="1"/>
      <c r="Y54" s="1"/>
      <c r="Z54" s="1"/>
      <c r="AA54" s="1"/>
      <c r="AB54" s="1"/>
      <c r="AC54">
        <f t="shared" si="11"/>
        <v>209</v>
      </c>
      <c r="AD54">
        <f t="shared" si="12"/>
        <v>8</v>
      </c>
      <c r="AE54">
        <f t="shared" si="13"/>
        <v>1</v>
      </c>
      <c r="AF54">
        <f t="shared" si="9"/>
        <v>7</v>
      </c>
      <c r="AG54">
        <f t="shared" si="10"/>
        <v>29.857142857142858</v>
      </c>
    </row>
    <row r="55" spans="3:33">
      <c r="C55" t="s">
        <v>144</v>
      </c>
      <c r="D55" s="1">
        <v>0</v>
      </c>
      <c r="E55" s="1">
        <v>0</v>
      </c>
      <c r="F55" s="1">
        <v>0</v>
      </c>
      <c r="G55" s="1">
        <v>29</v>
      </c>
      <c r="H55" s="1">
        <v>33</v>
      </c>
      <c r="I55" s="1">
        <v>30</v>
      </c>
      <c r="J55" s="1">
        <v>35</v>
      </c>
      <c r="K55" s="1">
        <v>26</v>
      </c>
      <c r="L55" s="1">
        <v>34</v>
      </c>
      <c r="M55" s="1">
        <v>35</v>
      </c>
      <c r="N55" s="1"/>
      <c r="O55" s="1"/>
      <c r="P55" s="1"/>
      <c r="Q55" s="1"/>
      <c r="R55" s="1"/>
      <c r="S55" s="1"/>
      <c r="T55" s="1"/>
      <c r="U55" s="1"/>
      <c r="V55" s="1"/>
      <c r="W55" s="1"/>
      <c r="X55" s="1"/>
      <c r="Y55" s="1"/>
      <c r="Z55" s="1"/>
      <c r="AA55" s="1"/>
      <c r="AB55" s="1"/>
      <c r="AC55">
        <f t="shared" si="11"/>
        <v>222</v>
      </c>
      <c r="AD55">
        <f t="shared" si="12"/>
        <v>10</v>
      </c>
      <c r="AE55">
        <f t="shared" si="13"/>
        <v>3</v>
      </c>
      <c r="AF55">
        <f t="shared" si="9"/>
        <v>7</v>
      </c>
      <c r="AG55">
        <f t="shared" si="10"/>
        <v>31.714285714285715</v>
      </c>
    </row>
    <row r="56" spans="3:33">
      <c r="C56" t="s">
        <v>145</v>
      </c>
      <c r="D56" s="1">
        <v>25</v>
      </c>
      <c r="E56" s="1">
        <v>34</v>
      </c>
      <c r="F56" s="1">
        <v>0</v>
      </c>
      <c r="G56" s="1">
        <v>25</v>
      </c>
      <c r="H56" s="1">
        <v>28</v>
      </c>
      <c r="I56" s="1">
        <v>27</v>
      </c>
      <c r="J56" s="1">
        <v>0</v>
      </c>
      <c r="K56" s="1">
        <v>0</v>
      </c>
      <c r="L56" s="1">
        <v>33</v>
      </c>
      <c r="M56" s="1">
        <v>31</v>
      </c>
      <c r="N56" s="1"/>
      <c r="O56" s="1"/>
      <c r="P56" s="1"/>
      <c r="Q56" s="1"/>
      <c r="R56" s="1"/>
      <c r="S56" s="1"/>
      <c r="T56" s="1"/>
      <c r="U56" s="1"/>
      <c r="V56" s="1"/>
      <c r="W56" s="1"/>
      <c r="X56" s="1"/>
      <c r="Y56" s="1"/>
      <c r="Z56" s="1"/>
      <c r="AA56" s="1"/>
      <c r="AB56" s="1"/>
      <c r="AC56">
        <f t="shared" si="11"/>
        <v>203</v>
      </c>
      <c r="AD56">
        <f t="shared" si="12"/>
        <v>10</v>
      </c>
      <c r="AE56">
        <f t="shared" si="13"/>
        <v>3</v>
      </c>
      <c r="AF56">
        <f t="shared" si="9"/>
        <v>7</v>
      </c>
      <c r="AG56">
        <f t="shared" si="10"/>
        <v>29</v>
      </c>
    </row>
    <row r="57" spans="3:33">
      <c r="C57" t="s">
        <v>146</v>
      </c>
      <c r="D57" s="1">
        <v>28</v>
      </c>
      <c r="E57" s="1">
        <v>28</v>
      </c>
      <c r="F57" s="1">
        <v>33</v>
      </c>
      <c r="G57" s="1">
        <v>33</v>
      </c>
      <c r="H57" s="1">
        <v>29</v>
      </c>
      <c r="I57" s="1">
        <v>0</v>
      </c>
      <c r="J57" s="1">
        <v>0</v>
      </c>
      <c r="K57" s="1">
        <v>37</v>
      </c>
      <c r="L57" s="1">
        <v>25</v>
      </c>
      <c r="M57" s="1"/>
      <c r="N57" s="1"/>
      <c r="O57" s="1"/>
      <c r="P57" s="1"/>
      <c r="Q57" s="1"/>
      <c r="R57" s="1"/>
      <c r="S57" s="1"/>
      <c r="T57" s="1"/>
      <c r="U57" s="1"/>
      <c r="V57" s="1"/>
      <c r="W57" s="1"/>
      <c r="X57" s="1"/>
      <c r="Y57" s="1"/>
      <c r="Z57" s="1"/>
      <c r="AA57" s="1"/>
      <c r="AB57" s="1"/>
      <c r="AC57">
        <f t="shared" si="11"/>
        <v>213</v>
      </c>
      <c r="AD57">
        <f t="shared" si="12"/>
        <v>9</v>
      </c>
      <c r="AE57">
        <f t="shared" si="13"/>
        <v>2</v>
      </c>
      <c r="AF57">
        <f t="shared" si="9"/>
        <v>7</v>
      </c>
      <c r="AG57">
        <f t="shared" si="10"/>
        <v>30.428571428571427</v>
      </c>
    </row>
    <row r="58" spans="3:33">
      <c r="C58" t="s">
        <v>147</v>
      </c>
      <c r="D58" s="1">
        <v>0</v>
      </c>
      <c r="E58" s="1">
        <v>29</v>
      </c>
      <c r="F58" s="1">
        <v>26</v>
      </c>
      <c r="G58" s="1">
        <v>29</v>
      </c>
      <c r="H58" s="1">
        <v>0</v>
      </c>
      <c r="I58" s="1">
        <v>27</v>
      </c>
      <c r="J58" s="1">
        <v>30</v>
      </c>
      <c r="K58" s="1">
        <v>0</v>
      </c>
      <c r="L58" s="1">
        <v>31</v>
      </c>
      <c r="M58" s="1">
        <v>25</v>
      </c>
      <c r="N58" s="1">
        <v>33</v>
      </c>
      <c r="O58" s="1"/>
      <c r="P58" s="1"/>
      <c r="Q58" s="1"/>
      <c r="R58" s="1"/>
      <c r="S58" s="1"/>
      <c r="T58" s="1"/>
      <c r="U58" s="1"/>
      <c r="V58" s="1"/>
      <c r="W58" s="1"/>
      <c r="X58" s="1"/>
      <c r="Y58" s="1"/>
      <c r="Z58" s="1"/>
      <c r="AA58" s="1"/>
      <c r="AB58" s="1"/>
      <c r="AC58">
        <f t="shared" si="11"/>
        <v>230</v>
      </c>
      <c r="AD58">
        <f t="shared" si="12"/>
        <v>11</v>
      </c>
      <c r="AE58">
        <f t="shared" si="13"/>
        <v>3</v>
      </c>
      <c r="AF58">
        <f t="shared" si="9"/>
        <v>8</v>
      </c>
      <c r="AG58">
        <f t="shared" si="10"/>
        <v>28.75</v>
      </c>
    </row>
    <row r="59" spans="3:33">
      <c r="C59" t="s">
        <v>148</v>
      </c>
      <c r="D59" s="1">
        <v>31</v>
      </c>
      <c r="E59" s="1">
        <v>29</v>
      </c>
      <c r="F59" s="1">
        <v>25</v>
      </c>
      <c r="G59" s="1">
        <v>0</v>
      </c>
      <c r="H59" s="1">
        <v>27</v>
      </c>
      <c r="I59" s="1">
        <v>25</v>
      </c>
      <c r="J59" s="1">
        <v>36</v>
      </c>
      <c r="K59" s="1">
        <v>30</v>
      </c>
      <c r="L59" s="1"/>
      <c r="M59" s="1"/>
      <c r="N59" s="1"/>
      <c r="O59" s="1"/>
      <c r="P59" s="1"/>
      <c r="Q59" s="1"/>
      <c r="R59" s="1"/>
      <c r="S59" s="1"/>
      <c r="T59" s="1"/>
      <c r="U59" s="1"/>
      <c r="V59" s="1"/>
      <c r="W59" s="1"/>
      <c r="X59" s="1"/>
      <c r="Y59" s="1"/>
      <c r="Z59" s="1"/>
      <c r="AA59" s="1"/>
      <c r="AB59" s="1"/>
      <c r="AC59">
        <f t="shared" si="11"/>
        <v>203</v>
      </c>
      <c r="AD59">
        <f t="shared" si="12"/>
        <v>8</v>
      </c>
      <c r="AE59">
        <f t="shared" si="13"/>
        <v>1</v>
      </c>
      <c r="AF59">
        <f t="shared" si="9"/>
        <v>7</v>
      </c>
      <c r="AG59">
        <f t="shared" si="10"/>
        <v>29</v>
      </c>
    </row>
    <row r="60" spans="3:33">
      <c r="C60" t="s">
        <v>149</v>
      </c>
      <c r="D60" s="1">
        <v>0</v>
      </c>
      <c r="E60" s="1">
        <v>34</v>
      </c>
      <c r="F60" s="1">
        <v>29</v>
      </c>
      <c r="G60" s="1">
        <v>26</v>
      </c>
      <c r="H60" s="1">
        <v>34</v>
      </c>
      <c r="I60" s="1">
        <v>35</v>
      </c>
      <c r="J60" s="1">
        <v>36</v>
      </c>
      <c r="K60" s="1">
        <v>25</v>
      </c>
      <c r="L60" s="1"/>
      <c r="M60" s="1"/>
      <c r="N60" s="1"/>
      <c r="O60" s="1"/>
      <c r="P60" s="1"/>
      <c r="Q60" s="1"/>
      <c r="R60" s="1"/>
      <c r="S60" s="1"/>
      <c r="T60" s="1"/>
      <c r="U60" s="1"/>
      <c r="V60" s="1"/>
      <c r="W60" s="1"/>
      <c r="X60" s="1"/>
      <c r="Y60" s="1"/>
      <c r="Z60" s="1"/>
      <c r="AA60" s="1"/>
      <c r="AB60" s="1"/>
      <c r="AC60">
        <f t="shared" si="11"/>
        <v>219</v>
      </c>
      <c r="AD60">
        <f t="shared" si="12"/>
        <v>8</v>
      </c>
      <c r="AE60">
        <f t="shared" si="13"/>
        <v>1</v>
      </c>
      <c r="AF60">
        <f t="shared" si="9"/>
        <v>7</v>
      </c>
      <c r="AG60">
        <f t="shared" si="10"/>
        <v>31.285714285714285</v>
      </c>
    </row>
    <row r="61" spans="3:33">
      <c r="C61" t="s">
        <v>150</v>
      </c>
      <c r="D61" s="1">
        <v>25</v>
      </c>
      <c r="E61" s="1">
        <v>0</v>
      </c>
      <c r="F61" s="1">
        <v>34</v>
      </c>
      <c r="G61" s="1">
        <v>0</v>
      </c>
      <c r="H61" s="1">
        <v>35</v>
      </c>
      <c r="I61" s="1">
        <v>27</v>
      </c>
      <c r="J61" s="1">
        <v>0</v>
      </c>
      <c r="K61" s="1">
        <v>0</v>
      </c>
      <c r="L61" s="1">
        <v>29</v>
      </c>
      <c r="M61" s="1">
        <v>36</v>
      </c>
      <c r="N61" s="1">
        <v>26</v>
      </c>
      <c r="O61" s="1"/>
      <c r="P61" s="1"/>
      <c r="Q61" s="1"/>
      <c r="R61" s="1"/>
      <c r="S61" s="1"/>
      <c r="T61" s="1"/>
      <c r="U61" s="1"/>
      <c r="V61" s="1"/>
      <c r="W61" s="1"/>
      <c r="X61" s="1"/>
      <c r="Y61" s="1"/>
      <c r="Z61" s="1"/>
      <c r="AA61" s="1"/>
      <c r="AB61" s="1"/>
      <c r="AC61">
        <f t="shared" si="11"/>
        <v>212</v>
      </c>
      <c r="AD61">
        <f t="shared" si="12"/>
        <v>11</v>
      </c>
      <c r="AE61">
        <f t="shared" si="13"/>
        <v>4</v>
      </c>
      <c r="AF61">
        <f t="shared" si="9"/>
        <v>7</v>
      </c>
      <c r="AG61">
        <f t="shared" si="10"/>
        <v>30.285714285714285</v>
      </c>
    </row>
    <row r="62" spans="3:33">
      <c r="C62" t="s">
        <v>151</v>
      </c>
      <c r="D62" s="1">
        <v>0</v>
      </c>
      <c r="E62" s="1">
        <v>33</v>
      </c>
      <c r="F62" s="1">
        <v>27</v>
      </c>
      <c r="G62" s="1">
        <v>35</v>
      </c>
      <c r="H62" s="1">
        <v>26</v>
      </c>
      <c r="I62" s="1">
        <v>28</v>
      </c>
      <c r="J62" s="1">
        <v>0</v>
      </c>
      <c r="K62" s="1">
        <v>0</v>
      </c>
      <c r="L62" s="1">
        <v>26</v>
      </c>
      <c r="M62" s="1">
        <v>25</v>
      </c>
      <c r="N62" s="1"/>
      <c r="O62" s="1"/>
      <c r="P62" s="1"/>
      <c r="Q62" s="1"/>
      <c r="R62" s="1"/>
      <c r="S62" s="1"/>
      <c r="T62" s="1"/>
      <c r="U62" s="1"/>
      <c r="V62" s="1"/>
      <c r="W62" s="1"/>
      <c r="X62" s="1"/>
      <c r="Y62" s="1"/>
      <c r="Z62" s="1"/>
      <c r="AA62" s="1"/>
      <c r="AB62" s="1"/>
      <c r="AC62">
        <f t="shared" si="11"/>
        <v>200</v>
      </c>
      <c r="AD62">
        <f t="shared" si="12"/>
        <v>10</v>
      </c>
      <c r="AE62">
        <f t="shared" si="13"/>
        <v>3</v>
      </c>
      <c r="AF62">
        <f t="shared" si="9"/>
        <v>7</v>
      </c>
      <c r="AG62">
        <f t="shared" si="10"/>
        <v>28.571428571428573</v>
      </c>
    </row>
    <row r="63" spans="3:33">
      <c r="C63" t="s">
        <v>152</v>
      </c>
      <c r="D63" s="1">
        <v>0</v>
      </c>
      <c r="E63" s="1">
        <v>32</v>
      </c>
      <c r="F63" s="1">
        <v>36</v>
      </c>
      <c r="G63" s="1">
        <v>0</v>
      </c>
      <c r="H63" s="1">
        <v>25</v>
      </c>
      <c r="I63" s="1">
        <v>29</v>
      </c>
      <c r="J63" s="1">
        <v>27</v>
      </c>
      <c r="K63" s="1">
        <v>26</v>
      </c>
      <c r="L63" s="1">
        <v>34</v>
      </c>
      <c r="M63" s="1"/>
      <c r="N63" s="1"/>
      <c r="O63" s="1"/>
      <c r="P63" s="1"/>
      <c r="Q63" s="1"/>
      <c r="R63" s="1"/>
      <c r="S63" s="1"/>
      <c r="T63" s="1"/>
      <c r="U63" s="1"/>
      <c r="V63" s="1"/>
      <c r="W63" s="1"/>
      <c r="X63" s="1"/>
      <c r="Y63" s="1"/>
      <c r="Z63" s="1"/>
      <c r="AA63" s="1"/>
      <c r="AB63" s="1"/>
      <c r="AC63">
        <f t="shared" si="11"/>
        <v>209</v>
      </c>
      <c r="AD63">
        <f t="shared" si="12"/>
        <v>9</v>
      </c>
      <c r="AE63">
        <f t="shared" si="13"/>
        <v>2</v>
      </c>
      <c r="AF63">
        <f t="shared" si="9"/>
        <v>7</v>
      </c>
      <c r="AG63">
        <f t="shared" si="10"/>
        <v>29.857142857142858</v>
      </c>
    </row>
    <row r="64" spans="3:33">
      <c r="C64" t="s">
        <v>153</v>
      </c>
      <c r="D64" s="1">
        <v>33</v>
      </c>
      <c r="E64" s="1">
        <v>0</v>
      </c>
      <c r="F64" s="1">
        <v>28</v>
      </c>
      <c r="G64" s="1">
        <v>26</v>
      </c>
      <c r="H64" s="1">
        <v>25</v>
      </c>
      <c r="I64" s="1">
        <v>0</v>
      </c>
      <c r="J64" s="1">
        <v>26</v>
      </c>
      <c r="K64" s="1">
        <v>25</v>
      </c>
      <c r="L64" s="1">
        <v>25</v>
      </c>
      <c r="M64" s="1">
        <v>0</v>
      </c>
      <c r="N64" s="1">
        <v>26</v>
      </c>
      <c r="O64" s="1"/>
      <c r="P64" s="1"/>
      <c r="Q64" s="1"/>
      <c r="R64" s="1"/>
      <c r="S64" s="1"/>
      <c r="T64" s="1"/>
      <c r="U64" s="1"/>
      <c r="V64" s="1"/>
      <c r="W64" s="1"/>
      <c r="X64" s="1"/>
      <c r="Y64" s="1"/>
      <c r="Z64" s="1"/>
      <c r="AA64" s="1"/>
      <c r="AB64" s="1"/>
      <c r="AC64">
        <f t="shared" si="11"/>
        <v>214</v>
      </c>
      <c r="AD64">
        <f t="shared" si="12"/>
        <v>11</v>
      </c>
      <c r="AE64">
        <f t="shared" si="13"/>
        <v>3</v>
      </c>
      <c r="AF64">
        <f t="shared" si="9"/>
        <v>8</v>
      </c>
      <c r="AG64">
        <f t="shared" si="10"/>
        <v>26.75</v>
      </c>
    </row>
    <row r="65" spans="3:33">
      <c r="C65" t="s">
        <v>154</v>
      </c>
      <c r="D65" s="1">
        <v>33</v>
      </c>
      <c r="E65" s="1">
        <v>30</v>
      </c>
      <c r="F65" s="1">
        <v>35</v>
      </c>
      <c r="G65" s="1">
        <v>36</v>
      </c>
      <c r="H65" s="1">
        <v>26</v>
      </c>
      <c r="I65" s="1">
        <v>27</v>
      </c>
      <c r="J65" s="1">
        <v>27</v>
      </c>
      <c r="K65" s="1"/>
      <c r="L65" s="1"/>
      <c r="M65" s="1"/>
      <c r="N65" s="1"/>
      <c r="O65" s="1"/>
      <c r="P65" s="1"/>
      <c r="Q65" s="1"/>
      <c r="R65" s="1"/>
      <c r="S65" s="1"/>
      <c r="T65" s="1"/>
      <c r="U65" s="1"/>
      <c r="V65" s="1"/>
      <c r="W65" s="1"/>
      <c r="X65" s="1"/>
      <c r="Y65" s="1"/>
      <c r="Z65" s="1"/>
      <c r="AA65" s="1"/>
      <c r="AB65" s="1"/>
      <c r="AC65">
        <f t="shared" si="11"/>
        <v>214</v>
      </c>
      <c r="AD65">
        <f t="shared" si="12"/>
        <v>7</v>
      </c>
      <c r="AE65">
        <f t="shared" si="13"/>
        <v>0</v>
      </c>
      <c r="AF65">
        <f t="shared" si="9"/>
        <v>7</v>
      </c>
      <c r="AG65">
        <f t="shared" si="10"/>
        <v>30.571428571428573</v>
      </c>
    </row>
    <row r="66" spans="3:33">
      <c r="C66" t="s">
        <v>155</v>
      </c>
      <c r="D66" s="1">
        <v>26</v>
      </c>
      <c r="E66" s="1">
        <v>30</v>
      </c>
      <c r="F66" s="1">
        <v>26</v>
      </c>
      <c r="G66" s="1">
        <v>0</v>
      </c>
      <c r="H66" s="1">
        <v>29</v>
      </c>
      <c r="I66" s="1">
        <v>0</v>
      </c>
      <c r="J66" s="1">
        <v>0</v>
      </c>
      <c r="K66" s="1">
        <v>28</v>
      </c>
      <c r="L66" s="1">
        <v>29</v>
      </c>
      <c r="M66" s="1">
        <v>34</v>
      </c>
      <c r="N66" s="1"/>
      <c r="O66" s="1"/>
      <c r="P66" s="1"/>
      <c r="Q66" s="1"/>
      <c r="R66" s="1"/>
      <c r="S66" s="1"/>
      <c r="T66" s="1"/>
      <c r="U66" s="1"/>
      <c r="V66" s="1"/>
      <c r="W66" s="1"/>
      <c r="X66" s="1"/>
      <c r="Y66" s="1"/>
      <c r="Z66" s="1"/>
      <c r="AA66" s="1"/>
      <c r="AB66" s="1"/>
      <c r="AC66">
        <f t="shared" si="11"/>
        <v>202</v>
      </c>
      <c r="AD66">
        <f t="shared" si="12"/>
        <v>10</v>
      </c>
      <c r="AE66">
        <f t="shared" si="13"/>
        <v>3</v>
      </c>
      <c r="AF66">
        <f t="shared" si="9"/>
        <v>7</v>
      </c>
      <c r="AG66">
        <f t="shared" si="10"/>
        <v>28.857142857142858</v>
      </c>
    </row>
    <row r="67" spans="3:33">
      <c r="C67" t="s">
        <v>156</v>
      </c>
      <c r="D67" s="1">
        <v>0</v>
      </c>
      <c r="E67" s="1">
        <v>0</v>
      </c>
      <c r="F67" s="1">
        <v>31</v>
      </c>
      <c r="G67" s="1">
        <v>0</v>
      </c>
      <c r="H67" s="1">
        <v>33</v>
      </c>
      <c r="I67" s="1">
        <v>25</v>
      </c>
      <c r="J67" s="1">
        <v>35</v>
      </c>
      <c r="K67" s="1">
        <v>27</v>
      </c>
      <c r="L67" s="1">
        <v>26</v>
      </c>
      <c r="M67" s="1">
        <v>0</v>
      </c>
      <c r="N67" s="1">
        <v>0</v>
      </c>
      <c r="O67" s="1">
        <v>32</v>
      </c>
      <c r="P67" s="1"/>
      <c r="Q67" s="1"/>
      <c r="R67" s="1"/>
      <c r="S67" s="1"/>
      <c r="T67" s="1"/>
      <c r="U67" s="1"/>
      <c r="V67" s="1"/>
      <c r="W67" s="1"/>
      <c r="X67" s="1"/>
      <c r="Y67" s="1"/>
      <c r="Z67" s="1"/>
      <c r="AA67" s="1"/>
      <c r="AB67" s="1"/>
      <c r="AC67">
        <f t="shared" si="11"/>
        <v>209</v>
      </c>
      <c r="AD67">
        <f t="shared" si="12"/>
        <v>12</v>
      </c>
      <c r="AE67">
        <f t="shared" si="13"/>
        <v>5</v>
      </c>
      <c r="AF67">
        <f t="shared" si="9"/>
        <v>7</v>
      </c>
      <c r="AG67">
        <f t="shared" si="10"/>
        <v>29.857142857142858</v>
      </c>
    </row>
    <row r="68" spans="3:33">
      <c r="C68" t="s">
        <v>157</v>
      </c>
      <c r="D68" s="1">
        <v>30</v>
      </c>
      <c r="E68" s="1">
        <v>0</v>
      </c>
      <c r="F68" s="1">
        <v>25</v>
      </c>
      <c r="G68" s="1">
        <v>28</v>
      </c>
      <c r="H68" s="1">
        <v>0</v>
      </c>
      <c r="I68" s="1">
        <v>28</v>
      </c>
      <c r="J68" s="1">
        <v>0</v>
      </c>
      <c r="K68" s="1">
        <v>0</v>
      </c>
      <c r="L68" s="1">
        <v>0</v>
      </c>
      <c r="M68" s="1">
        <v>0</v>
      </c>
      <c r="N68" s="1">
        <v>0</v>
      </c>
      <c r="O68" s="1">
        <v>29</v>
      </c>
      <c r="P68" s="1">
        <v>31</v>
      </c>
      <c r="Q68" s="1">
        <v>26</v>
      </c>
      <c r="R68" s="1">
        <v>28</v>
      </c>
      <c r="S68" s="1"/>
      <c r="T68" s="1"/>
      <c r="U68" s="1"/>
      <c r="V68" s="1"/>
      <c r="W68" s="1"/>
      <c r="X68" s="1"/>
      <c r="Y68" s="1"/>
      <c r="Z68" s="1"/>
      <c r="AA68" s="1"/>
      <c r="AB68" s="1"/>
      <c r="AC68">
        <f t="shared" si="11"/>
        <v>225</v>
      </c>
      <c r="AD68">
        <f t="shared" si="12"/>
        <v>15</v>
      </c>
      <c r="AE68">
        <f t="shared" si="13"/>
        <v>7</v>
      </c>
      <c r="AF68">
        <f t="shared" si="9"/>
        <v>8</v>
      </c>
      <c r="AG68">
        <f t="shared" si="10"/>
        <v>28.125</v>
      </c>
    </row>
    <row r="69" spans="3:33">
      <c r="C69" t="s">
        <v>158</v>
      </c>
      <c r="D69" s="1">
        <v>26</v>
      </c>
      <c r="E69" s="1">
        <v>0</v>
      </c>
      <c r="F69" s="1">
        <v>31</v>
      </c>
      <c r="G69" s="1">
        <v>25</v>
      </c>
      <c r="H69" s="1">
        <v>32</v>
      </c>
      <c r="I69" s="1">
        <v>30</v>
      </c>
      <c r="J69" s="1">
        <v>29</v>
      </c>
      <c r="K69" s="1">
        <v>33</v>
      </c>
      <c r="L69" s="1"/>
      <c r="M69" s="1"/>
      <c r="N69" s="1"/>
      <c r="O69" s="1"/>
      <c r="P69" s="1"/>
      <c r="Q69" s="1"/>
      <c r="R69" s="1"/>
      <c r="S69" s="1"/>
      <c r="T69" s="1"/>
      <c r="U69" s="1"/>
      <c r="V69" s="1"/>
      <c r="W69" s="1"/>
      <c r="X69" s="1"/>
      <c r="Y69" s="1"/>
      <c r="Z69" s="1"/>
      <c r="AA69" s="1"/>
      <c r="AB69" s="1"/>
      <c r="AC69">
        <f t="shared" si="11"/>
        <v>206</v>
      </c>
      <c r="AD69">
        <f t="shared" si="12"/>
        <v>8</v>
      </c>
      <c r="AE69">
        <f t="shared" si="13"/>
        <v>1</v>
      </c>
      <c r="AF69">
        <f t="shared" si="9"/>
        <v>7</v>
      </c>
      <c r="AG69">
        <f t="shared" si="10"/>
        <v>29.428571428571427</v>
      </c>
    </row>
    <row r="70" spans="3:33">
      <c r="C70" t="s">
        <v>159</v>
      </c>
      <c r="D70" s="1">
        <v>33</v>
      </c>
      <c r="E70" s="1">
        <v>0</v>
      </c>
      <c r="F70" s="1">
        <v>25</v>
      </c>
      <c r="G70" s="1">
        <v>33</v>
      </c>
      <c r="H70" s="1">
        <v>0</v>
      </c>
      <c r="I70" s="1">
        <v>0</v>
      </c>
      <c r="J70" s="1">
        <v>31</v>
      </c>
      <c r="K70" s="1">
        <v>26</v>
      </c>
      <c r="L70" s="1">
        <v>25</v>
      </c>
      <c r="M70" s="1">
        <v>29</v>
      </c>
      <c r="N70" s="1"/>
      <c r="O70" s="1"/>
      <c r="P70" s="1"/>
      <c r="Q70" s="1"/>
      <c r="R70" s="1"/>
      <c r="S70" s="1"/>
      <c r="T70" s="1"/>
      <c r="U70" s="1"/>
      <c r="V70" s="1"/>
      <c r="W70" s="1"/>
      <c r="X70" s="1"/>
      <c r="Y70" s="1"/>
      <c r="Z70" s="1"/>
      <c r="AA70" s="1"/>
      <c r="AB70" s="1"/>
      <c r="AC70">
        <f t="shared" si="11"/>
        <v>202</v>
      </c>
      <c r="AD70">
        <f t="shared" si="12"/>
        <v>10</v>
      </c>
      <c r="AE70">
        <f t="shared" si="13"/>
        <v>3</v>
      </c>
      <c r="AF70">
        <f t="shared" si="9"/>
        <v>7</v>
      </c>
      <c r="AG70">
        <f t="shared" si="10"/>
        <v>28.857142857142858</v>
      </c>
    </row>
    <row r="71" spans="3:33">
      <c r="C71" t="s">
        <v>160</v>
      </c>
      <c r="D71" s="1">
        <v>31</v>
      </c>
      <c r="E71" s="1">
        <v>25</v>
      </c>
      <c r="F71" s="1">
        <v>0</v>
      </c>
      <c r="G71" s="1">
        <v>28</v>
      </c>
      <c r="H71" s="1">
        <v>34</v>
      </c>
      <c r="I71" s="1">
        <v>25</v>
      </c>
      <c r="J71" s="1">
        <v>28</v>
      </c>
      <c r="K71" s="1">
        <v>33</v>
      </c>
      <c r="L71" s="1"/>
      <c r="M71" s="1"/>
      <c r="N71" s="1"/>
      <c r="O71" s="1"/>
      <c r="P71" s="1"/>
      <c r="Q71" s="1"/>
      <c r="R71" s="1"/>
      <c r="S71" s="1"/>
      <c r="T71" s="1"/>
      <c r="U71" s="1"/>
      <c r="V71" s="1"/>
      <c r="W71" s="1"/>
      <c r="X71" s="1"/>
      <c r="Y71" s="1"/>
      <c r="Z71" s="1"/>
      <c r="AA71" s="1"/>
      <c r="AB71" s="1"/>
      <c r="AC71">
        <f t="shared" si="11"/>
        <v>204</v>
      </c>
      <c r="AD71">
        <f t="shared" si="12"/>
        <v>8</v>
      </c>
      <c r="AE71">
        <f t="shared" si="13"/>
        <v>1</v>
      </c>
      <c r="AF71">
        <f t="shared" si="9"/>
        <v>7</v>
      </c>
      <c r="AG71">
        <f t="shared" si="10"/>
        <v>29.142857142857142</v>
      </c>
    </row>
    <row r="72" spans="3:33">
      <c r="C72" t="s">
        <v>161</v>
      </c>
      <c r="D72" s="1">
        <v>27</v>
      </c>
      <c r="E72" s="1">
        <v>32</v>
      </c>
      <c r="F72" s="1">
        <v>0</v>
      </c>
      <c r="G72" s="1">
        <v>30</v>
      </c>
      <c r="H72" s="1">
        <v>29</v>
      </c>
      <c r="I72" s="1">
        <v>0</v>
      </c>
      <c r="J72" s="1">
        <v>0</v>
      </c>
      <c r="K72" s="1">
        <v>0</v>
      </c>
      <c r="L72" s="1">
        <v>33</v>
      </c>
      <c r="M72" s="1">
        <v>26</v>
      </c>
      <c r="N72" s="1">
        <v>36</v>
      </c>
      <c r="O72" s="1"/>
      <c r="P72" s="1"/>
      <c r="Q72" s="1"/>
      <c r="R72" s="1"/>
      <c r="S72" s="1"/>
      <c r="T72" s="1"/>
      <c r="U72" s="1"/>
      <c r="V72" s="1"/>
      <c r="W72" s="1"/>
      <c r="X72" s="1"/>
      <c r="Y72" s="1"/>
      <c r="Z72" s="1"/>
      <c r="AA72" s="1"/>
      <c r="AB72" s="1"/>
      <c r="AC72">
        <f t="shared" si="11"/>
        <v>213</v>
      </c>
      <c r="AD72">
        <f t="shared" si="12"/>
        <v>11</v>
      </c>
      <c r="AE72">
        <f t="shared" si="13"/>
        <v>4</v>
      </c>
      <c r="AF72">
        <f t="shared" si="9"/>
        <v>7</v>
      </c>
      <c r="AG72">
        <f t="shared" si="10"/>
        <v>30.428571428571427</v>
      </c>
    </row>
    <row r="73" spans="3:33">
      <c r="C73" t="s">
        <v>162</v>
      </c>
      <c r="D73" s="1">
        <v>0</v>
      </c>
      <c r="E73" s="1">
        <v>28</v>
      </c>
      <c r="F73" s="1">
        <v>26</v>
      </c>
      <c r="G73" s="1">
        <v>0</v>
      </c>
      <c r="H73" s="1">
        <v>0</v>
      </c>
      <c r="I73" s="1">
        <v>25</v>
      </c>
      <c r="J73" s="1">
        <v>0</v>
      </c>
      <c r="K73" s="1">
        <v>27</v>
      </c>
      <c r="L73" s="1">
        <v>35</v>
      </c>
      <c r="M73" s="1">
        <v>29</v>
      </c>
      <c r="N73" s="1">
        <v>26</v>
      </c>
      <c r="O73" s="1">
        <v>28</v>
      </c>
      <c r="P73" s="1"/>
      <c r="Q73" s="1"/>
      <c r="R73" s="1"/>
      <c r="S73" s="1"/>
      <c r="T73" s="1"/>
      <c r="U73" s="1"/>
      <c r="V73" s="1"/>
      <c r="W73" s="1"/>
      <c r="X73" s="1"/>
      <c r="Y73" s="1"/>
      <c r="Z73" s="1"/>
      <c r="AA73" s="1"/>
      <c r="AB73" s="1"/>
      <c r="AC73">
        <f t="shared" si="11"/>
        <v>224</v>
      </c>
      <c r="AD73">
        <f t="shared" si="12"/>
        <v>12</v>
      </c>
      <c r="AE73">
        <f t="shared" si="13"/>
        <v>4</v>
      </c>
      <c r="AF73">
        <f t="shared" si="9"/>
        <v>8</v>
      </c>
      <c r="AG73">
        <f t="shared" si="10"/>
        <v>28</v>
      </c>
    </row>
    <row r="74" spans="3:33">
      <c r="C74" t="s">
        <v>163</v>
      </c>
      <c r="D74" s="1">
        <v>31</v>
      </c>
      <c r="E74" s="1">
        <v>27</v>
      </c>
      <c r="F74" s="1">
        <v>30</v>
      </c>
      <c r="G74" s="1">
        <v>0</v>
      </c>
      <c r="H74" s="1">
        <v>34</v>
      </c>
      <c r="I74" s="1">
        <v>25</v>
      </c>
      <c r="J74" s="1">
        <v>35</v>
      </c>
      <c r="K74" s="1">
        <v>28</v>
      </c>
      <c r="L74" s="1"/>
      <c r="M74" s="1"/>
      <c r="N74" s="1"/>
      <c r="O74" s="1"/>
      <c r="P74" s="1"/>
      <c r="Q74" s="1"/>
      <c r="R74" s="1"/>
      <c r="S74" s="1"/>
      <c r="T74" s="1"/>
      <c r="U74" s="1"/>
      <c r="V74" s="1"/>
      <c r="W74" s="1"/>
      <c r="X74" s="1"/>
      <c r="Y74" s="1"/>
      <c r="Z74" s="1"/>
      <c r="AA74" s="1"/>
      <c r="AB74" s="1"/>
      <c r="AC74">
        <f t="shared" si="11"/>
        <v>210</v>
      </c>
      <c r="AD74">
        <f t="shared" si="12"/>
        <v>8</v>
      </c>
      <c r="AE74">
        <f t="shared" si="13"/>
        <v>1</v>
      </c>
      <c r="AF74">
        <f t="shared" si="9"/>
        <v>7</v>
      </c>
      <c r="AG74">
        <f t="shared" si="10"/>
        <v>30</v>
      </c>
    </row>
    <row r="75" spans="3:33">
      <c r="C75" t="s">
        <v>164</v>
      </c>
      <c r="D75" s="1">
        <v>0</v>
      </c>
      <c r="E75" s="1">
        <v>30</v>
      </c>
      <c r="F75" s="1">
        <v>31</v>
      </c>
      <c r="G75" s="1">
        <v>0</v>
      </c>
      <c r="H75" s="1">
        <v>31</v>
      </c>
      <c r="I75" s="1">
        <v>0</v>
      </c>
      <c r="J75" s="1">
        <v>31</v>
      </c>
      <c r="K75" s="1">
        <v>0</v>
      </c>
      <c r="L75" s="1">
        <v>27</v>
      </c>
      <c r="M75" s="1">
        <v>33</v>
      </c>
      <c r="N75" s="1">
        <v>35</v>
      </c>
      <c r="O75" s="1"/>
      <c r="P75" s="1"/>
      <c r="Q75" s="1"/>
      <c r="R75" s="1"/>
      <c r="S75" s="1"/>
      <c r="T75" s="1"/>
      <c r="U75" s="1"/>
      <c r="V75" s="1"/>
      <c r="W75" s="1"/>
      <c r="X75" s="1"/>
      <c r="Y75" s="1"/>
      <c r="Z75" s="1"/>
      <c r="AA75" s="1"/>
      <c r="AB75" s="1"/>
      <c r="AC75">
        <f t="shared" si="11"/>
        <v>218</v>
      </c>
      <c r="AD75">
        <f t="shared" si="12"/>
        <v>11</v>
      </c>
      <c r="AE75">
        <f t="shared" si="13"/>
        <v>4</v>
      </c>
      <c r="AF75">
        <f t="shared" si="9"/>
        <v>7</v>
      </c>
      <c r="AG75">
        <f t="shared" si="10"/>
        <v>31.142857142857142</v>
      </c>
    </row>
    <row r="76" spans="3:33">
      <c r="C76" t="s">
        <v>165</v>
      </c>
      <c r="D76" s="1">
        <v>32</v>
      </c>
      <c r="E76" s="1">
        <v>34</v>
      </c>
      <c r="F76" s="1">
        <v>30</v>
      </c>
      <c r="G76" s="1">
        <v>0</v>
      </c>
      <c r="H76" s="1">
        <v>32</v>
      </c>
      <c r="I76" s="1">
        <v>0</v>
      </c>
      <c r="J76" s="1">
        <v>0</v>
      </c>
      <c r="K76" s="1">
        <v>31</v>
      </c>
      <c r="L76" s="1">
        <v>27</v>
      </c>
      <c r="M76" s="1">
        <v>36</v>
      </c>
      <c r="N76" s="1"/>
      <c r="O76" s="1"/>
      <c r="P76" s="1"/>
      <c r="Q76" s="1"/>
      <c r="R76" s="1"/>
      <c r="S76" s="1"/>
      <c r="T76" s="1"/>
      <c r="U76" s="1"/>
      <c r="V76" s="1"/>
      <c r="W76" s="1"/>
      <c r="X76" s="1"/>
      <c r="Y76" s="1"/>
      <c r="Z76" s="1"/>
      <c r="AA76" s="1"/>
      <c r="AB76" s="1"/>
      <c r="AC76">
        <f t="shared" si="11"/>
        <v>222</v>
      </c>
      <c r="AD76">
        <f t="shared" si="12"/>
        <v>10</v>
      </c>
      <c r="AE76">
        <f t="shared" si="13"/>
        <v>3</v>
      </c>
      <c r="AF76">
        <f t="shared" si="9"/>
        <v>7</v>
      </c>
      <c r="AG76">
        <f t="shared" si="10"/>
        <v>31.714285714285715</v>
      </c>
    </row>
    <row r="77" spans="3:33">
      <c r="C77" t="s">
        <v>166</v>
      </c>
      <c r="D77" s="1">
        <v>0</v>
      </c>
      <c r="E77" s="1">
        <v>0</v>
      </c>
      <c r="F77" s="1">
        <v>32</v>
      </c>
      <c r="G77" s="1">
        <v>0</v>
      </c>
      <c r="H77" s="1">
        <v>29</v>
      </c>
      <c r="I77" s="1">
        <v>0</v>
      </c>
      <c r="J77" s="1">
        <v>32</v>
      </c>
      <c r="K77" s="1">
        <v>0</v>
      </c>
      <c r="L77" s="1">
        <v>0</v>
      </c>
      <c r="M77" s="1">
        <v>0</v>
      </c>
      <c r="N77" s="1">
        <v>28</v>
      </c>
      <c r="O77" s="1">
        <v>30</v>
      </c>
      <c r="P77" s="1">
        <v>32</v>
      </c>
      <c r="Q77" s="1">
        <v>32</v>
      </c>
      <c r="R77" s="1"/>
      <c r="S77" s="1"/>
      <c r="T77" s="1"/>
      <c r="U77" s="1"/>
      <c r="V77" s="1"/>
      <c r="W77" s="1"/>
      <c r="X77" s="1"/>
      <c r="Y77" s="1"/>
      <c r="Z77" s="1"/>
      <c r="AA77" s="1"/>
      <c r="AB77" s="1"/>
      <c r="AC77">
        <f t="shared" si="11"/>
        <v>215</v>
      </c>
      <c r="AD77">
        <f t="shared" si="12"/>
        <v>14</v>
      </c>
      <c r="AE77">
        <f t="shared" si="13"/>
        <v>7</v>
      </c>
      <c r="AF77">
        <f t="shared" si="9"/>
        <v>7</v>
      </c>
      <c r="AG77">
        <f t="shared" si="10"/>
        <v>30.714285714285715</v>
      </c>
    </row>
    <row r="78" spans="3:33">
      <c r="C78" t="s">
        <v>167</v>
      </c>
      <c r="D78" s="1">
        <v>31</v>
      </c>
      <c r="E78" s="1">
        <v>30</v>
      </c>
      <c r="F78" s="1">
        <v>31</v>
      </c>
      <c r="G78" s="1">
        <v>33</v>
      </c>
      <c r="H78" s="1">
        <v>0</v>
      </c>
      <c r="I78" s="1">
        <v>28</v>
      </c>
      <c r="J78" s="1">
        <v>0</v>
      </c>
      <c r="K78" s="1">
        <v>25</v>
      </c>
      <c r="L78" s="1">
        <v>27</v>
      </c>
      <c r="M78" s="1"/>
      <c r="N78" s="1"/>
      <c r="O78" s="1"/>
      <c r="P78" s="1"/>
      <c r="Q78" s="1"/>
      <c r="R78" s="1"/>
      <c r="S78" s="1"/>
      <c r="T78" s="1"/>
      <c r="U78" s="1"/>
      <c r="V78" s="1"/>
      <c r="W78" s="1"/>
      <c r="X78" s="1"/>
      <c r="Y78" s="1"/>
      <c r="Z78" s="1"/>
      <c r="AA78" s="1"/>
      <c r="AB78" s="1"/>
      <c r="AC78">
        <f t="shared" si="11"/>
        <v>205</v>
      </c>
      <c r="AD78">
        <f t="shared" si="12"/>
        <v>9</v>
      </c>
      <c r="AE78">
        <f t="shared" si="13"/>
        <v>2</v>
      </c>
      <c r="AF78">
        <f t="shared" si="9"/>
        <v>7</v>
      </c>
      <c r="AG78">
        <f t="shared" si="10"/>
        <v>29.285714285714285</v>
      </c>
    </row>
    <row r="79" spans="3:33">
      <c r="C79" t="s">
        <v>168</v>
      </c>
      <c r="D79" s="1">
        <v>0</v>
      </c>
      <c r="E79" s="1">
        <v>30</v>
      </c>
      <c r="F79" s="1">
        <v>0</v>
      </c>
      <c r="G79" s="1">
        <v>0</v>
      </c>
      <c r="H79" s="1">
        <v>0</v>
      </c>
      <c r="I79" s="1">
        <v>64</v>
      </c>
      <c r="J79" s="1">
        <v>25</v>
      </c>
      <c r="K79" s="1">
        <v>0</v>
      </c>
      <c r="L79" s="1">
        <v>0</v>
      </c>
      <c r="M79" s="1">
        <v>31</v>
      </c>
      <c r="N79" s="1">
        <v>25</v>
      </c>
      <c r="O79" s="1">
        <v>30</v>
      </c>
      <c r="P79" s="1"/>
      <c r="Q79" s="1"/>
      <c r="R79" s="1"/>
      <c r="S79" s="1"/>
      <c r="T79" s="1"/>
      <c r="U79" s="1"/>
      <c r="V79" s="1"/>
      <c r="W79" s="1"/>
      <c r="X79" s="1"/>
      <c r="Y79" s="1"/>
      <c r="Z79" s="1"/>
      <c r="AA79" s="1"/>
      <c r="AB79" s="1"/>
      <c r="AC79">
        <f t="shared" si="11"/>
        <v>205</v>
      </c>
      <c r="AD79">
        <f t="shared" si="12"/>
        <v>12</v>
      </c>
      <c r="AE79">
        <f t="shared" si="13"/>
        <v>6</v>
      </c>
      <c r="AF79">
        <f t="shared" si="9"/>
        <v>6</v>
      </c>
      <c r="AG79">
        <f t="shared" si="10"/>
        <v>34.166666666666664</v>
      </c>
    </row>
    <row r="80" spans="3:33">
      <c r="C80" t="s">
        <v>169</v>
      </c>
      <c r="D80" s="1">
        <v>32</v>
      </c>
      <c r="E80" s="1">
        <v>25</v>
      </c>
      <c r="F80" s="1">
        <v>0</v>
      </c>
      <c r="G80" s="1">
        <v>0</v>
      </c>
      <c r="H80" s="1">
        <v>30</v>
      </c>
      <c r="I80" s="1">
        <v>0</v>
      </c>
      <c r="J80" s="1">
        <v>34</v>
      </c>
      <c r="K80" s="1">
        <v>31</v>
      </c>
      <c r="L80" s="1">
        <v>0</v>
      </c>
      <c r="M80" s="1">
        <v>26</v>
      </c>
      <c r="N80" s="1">
        <v>25</v>
      </c>
      <c r="O80" s="1"/>
      <c r="P80" s="1"/>
      <c r="Q80" s="1"/>
      <c r="R80" s="1"/>
      <c r="S80" s="1"/>
      <c r="T80" s="1"/>
      <c r="U80" s="1"/>
      <c r="V80" s="1"/>
      <c r="W80" s="1"/>
      <c r="X80" s="1"/>
      <c r="Y80" s="1"/>
      <c r="Z80" s="1"/>
      <c r="AA80" s="1"/>
      <c r="AB80" s="1"/>
      <c r="AC80">
        <f t="shared" ref="AC80:AC111" si="14">SUM(D80:AB80)</f>
        <v>203</v>
      </c>
      <c r="AD80">
        <f t="shared" ref="AD80:AD115" si="15">COUNT(D80:AB80)</f>
        <v>11</v>
      </c>
      <c r="AE80">
        <f t="shared" ref="AE80:AE115" si="16">COUNTIF(D80:AB80,0)</f>
        <v>4</v>
      </c>
      <c r="AF80">
        <f t="shared" ref="AF80:AF115" si="17">AD80-AE80</f>
        <v>7</v>
      </c>
      <c r="AG80">
        <f t="shared" ref="AG80:AG115" si="18">AC80/AF80</f>
        <v>29</v>
      </c>
    </row>
    <row r="81" spans="3:33">
      <c r="C81" t="s">
        <v>170</v>
      </c>
      <c r="D81" s="1">
        <v>32</v>
      </c>
      <c r="E81" s="1">
        <v>25</v>
      </c>
      <c r="F81" s="1">
        <v>30</v>
      </c>
      <c r="G81" s="1">
        <v>25</v>
      </c>
      <c r="H81" s="1">
        <v>0</v>
      </c>
      <c r="I81" s="1">
        <v>25</v>
      </c>
      <c r="J81" s="1">
        <v>0</v>
      </c>
      <c r="K81" s="1">
        <v>25</v>
      </c>
      <c r="L81" s="1">
        <v>34</v>
      </c>
      <c r="M81" s="1">
        <v>36</v>
      </c>
      <c r="N81" s="1"/>
      <c r="O81" s="1"/>
      <c r="P81" s="1"/>
      <c r="Q81" s="1"/>
      <c r="R81" s="1"/>
      <c r="S81" s="1"/>
      <c r="T81" s="1"/>
      <c r="U81" s="1"/>
      <c r="V81" s="1"/>
      <c r="W81" s="1"/>
      <c r="X81" s="1"/>
      <c r="Y81" s="1"/>
      <c r="Z81" s="1"/>
      <c r="AA81" s="1"/>
      <c r="AB81" s="1"/>
      <c r="AC81">
        <f t="shared" si="14"/>
        <v>232</v>
      </c>
      <c r="AD81">
        <f t="shared" si="15"/>
        <v>10</v>
      </c>
      <c r="AE81">
        <f t="shared" si="16"/>
        <v>2</v>
      </c>
      <c r="AF81">
        <f t="shared" si="17"/>
        <v>8</v>
      </c>
      <c r="AG81">
        <f t="shared" si="18"/>
        <v>29</v>
      </c>
    </row>
    <row r="82" spans="3:33">
      <c r="C82" t="s">
        <v>171</v>
      </c>
      <c r="D82" s="1">
        <v>25</v>
      </c>
      <c r="E82" s="1">
        <v>0</v>
      </c>
      <c r="F82" s="1">
        <v>25</v>
      </c>
      <c r="G82" s="1">
        <v>31</v>
      </c>
      <c r="H82" s="1">
        <v>26</v>
      </c>
      <c r="I82" s="1">
        <v>32</v>
      </c>
      <c r="J82" s="1">
        <v>0</v>
      </c>
      <c r="K82" s="1">
        <v>30</v>
      </c>
      <c r="L82" s="1">
        <v>31</v>
      </c>
      <c r="M82" s="1"/>
      <c r="N82" s="1"/>
      <c r="O82" s="1"/>
      <c r="P82" s="1"/>
      <c r="Q82" s="1"/>
      <c r="R82" s="1"/>
      <c r="S82" s="1"/>
      <c r="T82" s="1"/>
      <c r="U82" s="1"/>
      <c r="V82" s="1"/>
      <c r="W82" s="1"/>
      <c r="X82" s="1"/>
      <c r="Y82" s="1"/>
      <c r="Z82" s="1"/>
      <c r="AA82" s="1"/>
      <c r="AB82" s="1"/>
      <c r="AC82">
        <f t="shared" si="14"/>
        <v>200</v>
      </c>
      <c r="AD82">
        <f t="shared" si="15"/>
        <v>9</v>
      </c>
      <c r="AE82">
        <f t="shared" si="16"/>
        <v>2</v>
      </c>
      <c r="AF82">
        <f t="shared" si="17"/>
        <v>7</v>
      </c>
      <c r="AG82">
        <f t="shared" si="18"/>
        <v>28.571428571428573</v>
      </c>
    </row>
    <row r="83" spans="3:33">
      <c r="C83" t="s">
        <v>172</v>
      </c>
      <c r="D83" s="1">
        <v>34</v>
      </c>
      <c r="E83" s="1">
        <v>31</v>
      </c>
      <c r="F83" s="1">
        <v>29</v>
      </c>
      <c r="G83" s="1">
        <v>0</v>
      </c>
      <c r="H83" s="1">
        <v>27</v>
      </c>
      <c r="I83" s="1">
        <v>0</v>
      </c>
      <c r="J83" s="1">
        <v>33</v>
      </c>
      <c r="K83" s="1">
        <v>0</v>
      </c>
      <c r="L83" s="1">
        <v>31</v>
      </c>
      <c r="M83" s="1">
        <v>31</v>
      </c>
      <c r="N83" s="1"/>
      <c r="O83" s="1"/>
      <c r="P83" s="1"/>
      <c r="Q83" s="1"/>
      <c r="R83" s="1"/>
      <c r="S83" s="1"/>
      <c r="T83" s="1"/>
      <c r="U83" s="1"/>
      <c r="V83" s="1"/>
      <c r="W83" s="1"/>
      <c r="X83" s="1"/>
      <c r="Y83" s="1"/>
      <c r="Z83" s="1"/>
      <c r="AA83" s="1"/>
      <c r="AB83" s="1"/>
      <c r="AC83">
        <f t="shared" si="14"/>
        <v>216</v>
      </c>
      <c r="AD83">
        <f t="shared" si="15"/>
        <v>10</v>
      </c>
      <c r="AE83">
        <f t="shared" si="16"/>
        <v>3</v>
      </c>
      <c r="AF83">
        <f t="shared" si="17"/>
        <v>7</v>
      </c>
      <c r="AG83">
        <f t="shared" si="18"/>
        <v>30.857142857142858</v>
      </c>
    </row>
    <row r="84" spans="3:33">
      <c r="C84" t="s">
        <v>173</v>
      </c>
      <c r="D84" s="1">
        <v>28</v>
      </c>
      <c r="E84" s="1">
        <v>31</v>
      </c>
      <c r="F84" s="1">
        <v>25</v>
      </c>
      <c r="G84" s="1">
        <v>0</v>
      </c>
      <c r="H84" s="1">
        <v>35</v>
      </c>
      <c r="I84" s="1">
        <v>33</v>
      </c>
      <c r="J84" s="1">
        <v>0</v>
      </c>
      <c r="K84" s="1">
        <v>34</v>
      </c>
      <c r="L84" s="1">
        <v>30</v>
      </c>
      <c r="M84" s="1"/>
      <c r="N84" s="1"/>
      <c r="O84" s="1"/>
      <c r="P84" s="1"/>
      <c r="Q84" s="1"/>
      <c r="R84" s="1"/>
      <c r="S84" s="1"/>
      <c r="T84" s="1"/>
      <c r="U84" s="1"/>
      <c r="V84" s="1"/>
      <c r="W84" s="1"/>
      <c r="X84" s="1"/>
      <c r="Y84" s="1"/>
      <c r="Z84" s="1"/>
      <c r="AA84" s="1"/>
      <c r="AB84" s="1"/>
      <c r="AC84">
        <f t="shared" si="14"/>
        <v>216</v>
      </c>
      <c r="AD84">
        <f t="shared" si="15"/>
        <v>9</v>
      </c>
      <c r="AE84">
        <f t="shared" si="16"/>
        <v>2</v>
      </c>
      <c r="AF84">
        <f t="shared" si="17"/>
        <v>7</v>
      </c>
      <c r="AG84">
        <f t="shared" si="18"/>
        <v>30.857142857142858</v>
      </c>
    </row>
    <row r="85" spans="3:33">
      <c r="C85" t="s">
        <v>174</v>
      </c>
      <c r="D85" s="1">
        <v>30</v>
      </c>
      <c r="E85" s="1">
        <v>25</v>
      </c>
      <c r="F85" s="1">
        <v>0</v>
      </c>
      <c r="G85" s="1">
        <v>29</v>
      </c>
      <c r="H85" s="1">
        <v>28</v>
      </c>
      <c r="I85" s="1">
        <v>0</v>
      </c>
      <c r="J85" s="1">
        <v>26</v>
      </c>
      <c r="K85" s="1">
        <v>25</v>
      </c>
      <c r="L85" s="1">
        <v>28</v>
      </c>
      <c r="M85" s="1">
        <v>35</v>
      </c>
      <c r="N85" s="1"/>
      <c r="O85" s="1"/>
      <c r="P85" s="1"/>
      <c r="Q85" s="1"/>
      <c r="R85" s="1"/>
      <c r="S85" s="1"/>
      <c r="T85" s="1"/>
      <c r="U85" s="1"/>
      <c r="V85" s="1"/>
      <c r="W85" s="1"/>
      <c r="X85" s="1"/>
      <c r="Y85" s="1"/>
      <c r="Z85" s="1"/>
      <c r="AA85" s="1"/>
      <c r="AB85" s="1"/>
      <c r="AC85">
        <f t="shared" si="14"/>
        <v>226</v>
      </c>
      <c r="AD85">
        <f t="shared" si="15"/>
        <v>10</v>
      </c>
      <c r="AE85">
        <f t="shared" si="16"/>
        <v>2</v>
      </c>
      <c r="AF85">
        <f t="shared" si="17"/>
        <v>8</v>
      </c>
      <c r="AG85">
        <f t="shared" si="18"/>
        <v>28.25</v>
      </c>
    </row>
    <row r="86" spans="3:33">
      <c r="C86" t="s">
        <v>175</v>
      </c>
      <c r="D86" s="1">
        <v>0</v>
      </c>
      <c r="E86" s="1">
        <v>0</v>
      </c>
      <c r="F86" s="1">
        <v>32</v>
      </c>
      <c r="G86" s="1">
        <v>0</v>
      </c>
      <c r="H86" s="1">
        <v>0</v>
      </c>
      <c r="I86" s="1">
        <v>30</v>
      </c>
      <c r="J86" s="1">
        <v>28</v>
      </c>
      <c r="K86" s="1">
        <v>0</v>
      </c>
      <c r="L86" s="1">
        <v>32</v>
      </c>
      <c r="M86" s="1">
        <v>29</v>
      </c>
      <c r="N86" s="1">
        <v>33</v>
      </c>
      <c r="O86" s="1">
        <v>35</v>
      </c>
      <c r="P86" s="1"/>
      <c r="Q86" s="1"/>
      <c r="R86" s="1"/>
      <c r="S86" s="1"/>
      <c r="T86" s="1"/>
      <c r="U86" s="1"/>
      <c r="V86" s="1"/>
      <c r="W86" s="1"/>
      <c r="X86" s="1"/>
      <c r="Y86" s="1"/>
      <c r="Z86" s="1"/>
      <c r="AA86" s="1"/>
      <c r="AB86" s="1"/>
      <c r="AC86">
        <f t="shared" si="14"/>
        <v>219</v>
      </c>
      <c r="AD86">
        <f t="shared" si="15"/>
        <v>12</v>
      </c>
      <c r="AE86">
        <f t="shared" si="16"/>
        <v>5</v>
      </c>
      <c r="AF86">
        <f t="shared" si="17"/>
        <v>7</v>
      </c>
      <c r="AG86">
        <f t="shared" si="18"/>
        <v>31.285714285714285</v>
      </c>
    </row>
    <row r="87" spans="3:33">
      <c r="C87" t="s">
        <v>176</v>
      </c>
      <c r="D87" s="1">
        <v>33</v>
      </c>
      <c r="E87" s="1">
        <v>0</v>
      </c>
      <c r="F87" s="1">
        <v>25</v>
      </c>
      <c r="G87" s="1">
        <v>0</v>
      </c>
      <c r="H87" s="1">
        <v>0</v>
      </c>
      <c r="I87" s="1">
        <v>33</v>
      </c>
      <c r="J87" s="1">
        <v>25</v>
      </c>
      <c r="K87" s="1">
        <v>0</v>
      </c>
      <c r="L87" s="1">
        <v>29</v>
      </c>
      <c r="M87" s="1">
        <v>25</v>
      </c>
      <c r="N87" s="1">
        <v>25</v>
      </c>
      <c r="O87" s="1">
        <v>0</v>
      </c>
      <c r="P87" s="1">
        <v>0</v>
      </c>
      <c r="Q87" s="1">
        <v>0</v>
      </c>
      <c r="R87" s="1">
        <v>35</v>
      </c>
      <c r="S87" s="1"/>
      <c r="T87" s="1"/>
      <c r="U87" s="1"/>
      <c r="V87" s="1"/>
      <c r="W87" s="1"/>
      <c r="X87" s="1"/>
      <c r="Y87" s="1"/>
      <c r="Z87" s="1"/>
      <c r="AA87" s="1"/>
      <c r="AB87" s="1"/>
      <c r="AC87">
        <f t="shared" si="14"/>
        <v>230</v>
      </c>
      <c r="AD87">
        <f t="shared" si="15"/>
        <v>15</v>
      </c>
      <c r="AE87">
        <f t="shared" si="16"/>
        <v>7</v>
      </c>
      <c r="AF87">
        <f t="shared" si="17"/>
        <v>8</v>
      </c>
      <c r="AG87">
        <f t="shared" si="18"/>
        <v>28.75</v>
      </c>
    </row>
    <row r="88" spans="3:33">
      <c r="C88" t="s">
        <v>177</v>
      </c>
      <c r="D88" s="1">
        <v>0</v>
      </c>
      <c r="E88" s="1">
        <v>36</v>
      </c>
      <c r="F88" s="1">
        <v>34</v>
      </c>
      <c r="G88" s="1">
        <v>32</v>
      </c>
      <c r="H88" s="1">
        <v>0</v>
      </c>
      <c r="I88" s="1">
        <v>35</v>
      </c>
      <c r="J88" s="1">
        <v>0</v>
      </c>
      <c r="K88" s="1">
        <v>0</v>
      </c>
      <c r="L88" s="1">
        <v>26</v>
      </c>
      <c r="M88" s="1">
        <v>30</v>
      </c>
      <c r="N88" s="1">
        <v>34</v>
      </c>
      <c r="O88" s="1"/>
      <c r="P88" s="1"/>
      <c r="Q88" s="1"/>
      <c r="R88" s="1"/>
      <c r="S88" s="1"/>
      <c r="T88" s="1"/>
      <c r="U88" s="1"/>
      <c r="V88" s="1"/>
      <c r="W88" s="1"/>
      <c r="X88" s="1"/>
      <c r="Y88" s="1"/>
      <c r="Z88" s="1"/>
      <c r="AA88" s="1"/>
      <c r="AB88" s="1"/>
      <c r="AC88">
        <f t="shared" si="14"/>
        <v>227</v>
      </c>
      <c r="AD88">
        <f t="shared" si="15"/>
        <v>11</v>
      </c>
      <c r="AE88">
        <f t="shared" si="16"/>
        <v>4</v>
      </c>
      <c r="AF88">
        <f t="shared" si="17"/>
        <v>7</v>
      </c>
      <c r="AG88">
        <f t="shared" si="18"/>
        <v>32.428571428571431</v>
      </c>
    </row>
    <row r="89" spans="3:33">
      <c r="C89" t="s">
        <v>178</v>
      </c>
      <c r="D89" s="1">
        <v>0</v>
      </c>
      <c r="E89" s="1">
        <v>0</v>
      </c>
      <c r="F89" s="1">
        <v>30</v>
      </c>
      <c r="G89" s="1">
        <v>0</v>
      </c>
      <c r="H89" s="1">
        <v>28</v>
      </c>
      <c r="I89" s="1">
        <v>27</v>
      </c>
      <c r="J89" s="1">
        <v>26</v>
      </c>
      <c r="K89" s="1">
        <v>0</v>
      </c>
      <c r="L89" s="1">
        <v>0</v>
      </c>
      <c r="M89" s="1">
        <v>32</v>
      </c>
      <c r="N89" s="1">
        <v>0</v>
      </c>
      <c r="O89" s="1">
        <v>31</v>
      </c>
      <c r="P89" s="1">
        <v>0</v>
      </c>
      <c r="Q89" s="1">
        <v>27</v>
      </c>
      <c r="R89" s="1"/>
      <c r="S89" s="1"/>
      <c r="T89" s="1"/>
      <c r="U89" s="1"/>
      <c r="V89" s="1"/>
      <c r="W89" s="1"/>
      <c r="X89" s="1"/>
      <c r="Y89" s="1"/>
      <c r="Z89" s="1"/>
      <c r="AA89" s="1"/>
      <c r="AB89" s="1"/>
      <c r="AC89">
        <f t="shared" si="14"/>
        <v>201</v>
      </c>
      <c r="AD89">
        <f t="shared" si="15"/>
        <v>14</v>
      </c>
      <c r="AE89">
        <f t="shared" si="16"/>
        <v>7</v>
      </c>
      <c r="AF89">
        <f t="shared" si="17"/>
        <v>7</v>
      </c>
      <c r="AG89">
        <f t="shared" si="18"/>
        <v>28.714285714285715</v>
      </c>
    </row>
    <row r="90" spans="3:33">
      <c r="C90" t="s">
        <v>179</v>
      </c>
      <c r="D90" s="1">
        <v>25</v>
      </c>
      <c r="E90" s="1">
        <v>0</v>
      </c>
      <c r="F90" s="1">
        <v>31</v>
      </c>
      <c r="G90" s="1">
        <v>30</v>
      </c>
      <c r="H90" s="1">
        <v>25</v>
      </c>
      <c r="I90" s="1">
        <v>0</v>
      </c>
      <c r="J90" s="1">
        <v>0</v>
      </c>
      <c r="K90" s="1">
        <v>25</v>
      </c>
      <c r="L90" s="1">
        <v>26</v>
      </c>
      <c r="M90" s="1">
        <v>29</v>
      </c>
      <c r="N90" s="1">
        <v>0</v>
      </c>
      <c r="O90" s="1">
        <v>32</v>
      </c>
      <c r="P90" s="1"/>
      <c r="Q90" s="1"/>
      <c r="R90" s="1"/>
      <c r="S90" s="1"/>
      <c r="T90" s="1"/>
      <c r="U90" s="1"/>
      <c r="V90" s="1"/>
      <c r="W90" s="1"/>
      <c r="X90" s="1"/>
      <c r="Y90" s="1"/>
      <c r="Z90" s="1"/>
      <c r="AA90" s="1"/>
      <c r="AB90" s="1"/>
      <c r="AC90">
        <f t="shared" si="14"/>
        <v>223</v>
      </c>
      <c r="AD90">
        <f t="shared" si="15"/>
        <v>12</v>
      </c>
      <c r="AE90">
        <f t="shared" si="16"/>
        <v>4</v>
      </c>
      <c r="AF90">
        <f t="shared" si="17"/>
        <v>8</v>
      </c>
      <c r="AG90">
        <f t="shared" si="18"/>
        <v>27.875</v>
      </c>
    </row>
    <row r="91" spans="3:33">
      <c r="C91" t="s">
        <v>180</v>
      </c>
      <c r="D91" s="1">
        <v>28</v>
      </c>
      <c r="E91" s="1">
        <v>26</v>
      </c>
      <c r="F91" s="1">
        <v>33</v>
      </c>
      <c r="G91" s="1">
        <v>25</v>
      </c>
      <c r="H91" s="1">
        <v>27</v>
      </c>
      <c r="I91" s="1">
        <v>0</v>
      </c>
      <c r="J91" s="1">
        <v>31</v>
      </c>
      <c r="K91" s="1">
        <v>27</v>
      </c>
      <c r="L91" s="1">
        <v>30</v>
      </c>
      <c r="M91" s="1"/>
      <c r="N91" s="1"/>
      <c r="O91" s="1"/>
      <c r="P91" s="1"/>
      <c r="Q91" s="1"/>
      <c r="R91" s="1"/>
      <c r="S91" s="1"/>
      <c r="T91" s="1"/>
      <c r="U91" s="1"/>
      <c r="V91" s="1"/>
      <c r="W91" s="1"/>
      <c r="X91" s="1"/>
      <c r="Y91" s="1"/>
      <c r="Z91" s="1"/>
      <c r="AA91" s="1"/>
      <c r="AB91" s="1"/>
      <c r="AC91">
        <f t="shared" si="14"/>
        <v>227</v>
      </c>
      <c r="AD91">
        <f t="shared" si="15"/>
        <v>9</v>
      </c>
      <c r="AE91">
        <f t="shared" si="16"/>
        <v>1</v>
      </c>
      <c r="AF91">
        <f t="shared" si="17"/>
        <v>8</v>
      </c>
      <c r="AG91">
        <f t="shared" si="18"/>
        <v>28.375</v>
      </c>
    </row>
    <row r="92" spans="3:33">
      <c r="C92" t="s">
        <v>181</v>
      </c>
      <c r="D92" s="1">
        <v>32</v>
      </c>
      <c r="E92" s="1">
        <v>27</v>
      </c>
      <c r="F92" s="1">
        <v>30</v>
      </c>
      <c r="G92" s="1">
        <v>28</v>
      </c>
      <c r="H92" s="1">
        <v>25</v>
      </c>
      <c r="I92" s="1">
        <v>28</v>
      </c>
      <c r="J92" s="1">
        <v>29</v>
      </c>
      <c r="K92" s="1">
        <v>28</v>
      </c>
      <c r="L92" s="1"/>
      <c r="M92" s="1"/>
      <c r="N92" s="1"/>
      <c r="O92" s="1"/>
      <c r="P92" s="1"/>
      <c r="Q92" s="1"/>
      <c r="R92" s="1"/>
      <c r="S92" s="1"/>
      <c r="T92" s="1"/>
      <c r="U92" s="1"/>
      <c r="V92" s="1"/>
      <c r="W92" s="1"/>
      <c r="X92" s="1"/>
      <c r="Y92" s="1"/>
      <c r="Z92" s="1"/>
      <c r="AA92" s="1"/>
      <c r="AB92" s="1"/>
      <c r="AC92">
        <f t="shared" si="14"/>
        <v>227</v>
      </c>
      <c r="AD92">
        <f t="shared" si="15"/>
        <v>8</v>
      </c>
      <c r="AE92">
        <f t="shared" si="16"/>
        <v>0</v>
      </c>
      <c r="AF92">
        <f t="shared" si="17"/>
        <v>8</v>
      </c>
      <c r="AG92">
        <f t="shared" si="18"/>
        <v>28.375</v>
      </c>
    </row>
    <row r="93" spans="3:33">
      <c r="C93" t="s">
        <v>182</v>
      </c>
      <c r="D93" s="1">
        <v>0</v>
      </c>
      <c r="E93" s="1">
        <v>0</v>
      </c>
      <c r="F93" s="1">
        <v>0</v>
      </c>
      <c r="G93" s="1">
        <v>0</v>
      </c>
      <c r="H93" s="1">
        <v>0</v>
      </c>
      <c r="I93" s="1">
        <v>29</v>
      </c>
      <c r="J93" s="1">
        <v>25</v>
      </c>
      <c r="K93" s="1">
        <v>27</v>
      </c>
      <c r="L93" s="1">
        <v>0</v>
      </c>
      <c r="M93" s="1">
        <v>29</v>
      </c>
      <c r="N93" s="1">
        <v>0</v>
      </c>
      <c r="O93" s="1">
        <v>0</v>
      </c>
      <c r="P93" s="1">
        <v>0</v>
      </c>
      <c r="Q93" s="1">
        <v>26</v>
      </c>
      <c r="R93" s="1">
        <v>0</v>
      </c>
      <c r="S93" s="1">
        <v>32</v>
      </c>
      <c r="T93" s="1">
        <v>32</v>
      </c>
      <c r="U93" s="1"/>
      <c r="V93" s="1"/>
      <c r="W93" s="1"/>
      <c r="X93" s="1"/>
      <c r="Y93" s="1"/>
      <c r="Z93" s="1"/>
      <c r="AA93" s="1"/>
      <c r="AB93" s="1"/>
      <c r="AC93">
        <f t="shared" si="14"/>
        <v>200</v>
      </c>
      <c r="AD93">
        <f t="shared" si="15"/>
        <v>17</v>
      </c>
      <c r="AE93">
        <f t="shared" si="16"/>
        <v>10</v>
      </c>
      <c r="AF93">
        <f t="shared" si="17"/>
        <v>7</v>
      </c>
      <c r="AG93">
        <f t="shared" si="18"/>
        <v>28.571428571428573</v>
      </c>
    </row>
    <row r="94" spans="3:33">
      <c r="C94" t="s">
        <v>183</v>
      </c>
      <c r="D94" s="1">
        <v>30</v>
      </c>
      <c r="E94" s="1">
        <v>29</v>
      </c>
      <c r="F94" s="1">
        <v>0</v>
      </c>
      <c r="G94" s="1">
        <v>29</v>
      </c>
      <c r="H94" s="1">
        <v>27</v>
      </c>
      <c r="I94" s="1">
        <v>0</v>
      </c>
      <c r="J94" s="1">
        <v>27</v>
      </c>
      <c r="K94" s="1">
        <v>33</v>
      </c>
      <c r="L94" s="1">
        <v>34</v>
      </c>
      <c r="M94" s="1"/>
      <c r="N94" s="1"/>
      <c r="O94" s="1"/>
      <c r="P94" s="1"/>
      <c r="Q94" s="1"/>
      <c r="R94" s="1"/>
      <c r="S94" s="1"/>
      <c r="T94" s="1"/>
      <c r="U94" s="1"/>
      <c r="V94" s="1"/>
      <c r="W94" s="1"/>
      <c r="X94" s="1"/>
      <c r="Y94" s="1"/>
      <c r="Z94" s="1"/>
      <c r="AA94" s="1"/>
      <c r="AB94" s="1"/>
      <c r="AC94">
        <f t="shared" si="14"/>
        <v>209</v>
      </c>
      <c r="AD94">
        <f t="shared" si="15"/>
        <v>9</v>
      </c>
      <c r="AE94">
        <f t="shared" si="16"/>
        <v>2</v>
      </c>
      <c r="AF94">
        <f t="shared" si="17"/>
        <v>7</v>
      </c>
      <c r="AG94">
        <f t="shared" si="18"/>
        <v>29.857142857142858</v>
      </c>
    </row>
    <row r="95" spans="3:33">
      <c r="C95" t="s">
        <v>184</v>
      </c>
      <c r="D95" s="1">
        <v>34</v>
      </c>
      <c r="E95" s="1">
        <v>0</v>
      </c>
      <c r="F95" s="1">
        <v>0</v>
      </c>
      <c r="G95" s="1">
        <v>26</v>
      </c>
      <c r="H95" s="1">
        <v>35</v>
      </c>
      <c r="I95" s="1">
        <v>0</v>
      </c>
      <c r="J95" s="1">
        <v>0</v>
      </c>
      <c r="K95" s="1">
        <v>0</v>
      </c>
      <c r="L95" s="1">
        <v>0</v>
      </c>
      <c r="M95" s="1">
        <v>25</v>
      </c>
      <c r="N95" s="1">
        <v>34</v>
      </c>
      <c r="O95" s="1">
        <v>29</v>
      </c>
      <c r="P95" s="1">
        <v>25</v>
      </c>
      <c r="Q95" s="1"/>
      <c r="R95" s="1"/>
      <c r="S95" s="1"/>
      <c r="T95" s="1"/>
      <c r="U95" s="1"/>
      <c r="V95" s="1"/>
      <c r="W95" s="1"/>
      <c r="X95" s="1"/>
      <c r="Y95" s="1"/>
      <c r="Z95" s="1"/>
      <c r="AA95" s="1"/>
      <c r="AB95" s="1"/>
      <c r="AC95">
        <f t="shared" si="14"/>
        <v>208</v>
      </c>
      <c r="AD95">
        <f t="shared" si="15"/>
        <v>13</v>
      </c>
      <c r="AE95">
        <f t="shared" si="16"/>
        <v>6</v>
      </c>
      <c r="AF95">
        <f t="shared" si="17"/>
        <v>7</v>
      </c>
      <c r="AG95">
        <f t="shared" si="18"/>
        <v>29.714285714285715</v>
      </c>
    </row>
    <row r="96" spans="3:33">
      <c r="C96" t="s">
        <v>185</v>
      </c>
      <c r="D96" s="1">
        <v>0</v>
      </c>
      <c r="E96" s="1">
        <v>36</v>
      </c>
      <c r="F96" s="1">
        <v>28</v>
      </c>
      <c r="G96" s="1">
        <v>31</v>
      </c>
      <c r="H96" s="1">
        <v>25</v>
      </c>
      <c r="I96" s="1">
        <v>26</v>
      </c>
      <c r="J96" s="1">
        <v>30</v>
      </c>
      <c r="K96" s="1">
        <v>31</v>
      </c>
      <c r="L96" s="1"/>
      <c r="M96" s="1"/>
      <c r="N96" s="1"/>
      <c r="O96" s="1"/>
      <c r="P96" s="1"/>
      <c r="Q96" s="1"/>
      <c r="R96" s="1"/>
      <c r="S96" s="1"/>
      <c r="T96" s="1"/>
      <c r="U96" s="1"/>
      <c r="V96" s="1"/>
      <c r="W96" s="1"/>
      <c r="X96" s="1"/>
      <c r="Y96" s="1"/>
      <c r="Z96" s="1"/>
      <c r="AA96" s="1"/>
      <c r="AB96" s="1"/>
      <c r="AC96">
        <f t="shared" si="14"/>
        <v>207</v>
      </c>
      <c r="AD96">
        <f t="shared" si="15"/>
        <v>8</v>
      </c>
      <c r="AE96">
        <f t="shared" si="16"/>
        <v>1</v>
      </c>
      <c r="AF96">
        <f t="shared" si="17"/>
        <v>7</v>
      </c>
      <c r="AG96">
        <f t="shared" si="18"/>
        <v>29.571428571428573</v>
      </c>
    </row>
    <row r="97" spans="3:33">
      <c r="C97" t="s">
        <v>186</v>
      </c>
      <c r="D97" s="1">
        <v>30</v>
      </c>
      <c r="E97" s="1">
        <v>0</v>
      </c>
      <c r="F97" s="1">
        <v>34</v>
      </c>
      <c r="G97" s="1">
        <v>29</v>
      </c>
      <c r="H97" s="1">
        <v>31</v>
      </c>
      <c r="I97" s="1">
        <v>28</v>
      </c>
      <c r="J97" s="1">
        <v>30</v>
      </c>
      <c r="K97" s="1">
        <v>0</v>
      </c>
      <c r="L97" s="1">
        <v>0</v>
      </c>
      <c r="M97" s="1">
        <v>32</v>
      </c>
      <c r="N97" s="1"/>
      <c r="O97" s="1"/>
      <c r="P97" s="1"/>
      <c r="Q97" s="1"/>
      <c r="R97" s="1"/>
      <c r="S97" s="1"/>
      <c r="T97" s="1"/>
      <c r="U97" s="1"/>
      <c r="V97" s="1"/>
      <c r="W97" s="1"/>
      <c r="X97" s="1"/>
      <c r="Y97" s="1"/>
      <c r="Z97" s="1"/>
      <c r="AA97" s="1"/>
      <c r="AB97" s="1"/>
      <c r="AC97">
        <f t="shared" si="14"/>
        <v>214</v>
      </c>
      <c r="AD97">
        <f t="shared" si="15"/>
        <v>10</v>
      </c>
      <c r="AE97">
        <f t="shared" si="16"/>
        <v>3</v>
      </c>
      <c r="AF97">
        <f t="shared" si="17"/>
        <v>7</v>
      </c>
      <c r="AG97">
        <f t="shared" si="18"/>
        <v>30.571428571428573</v>
      </c>
    </row>
    <row r="98" spans="3:33">
      <c r="C98" t="s">
        <v>187</v>
      </c>
      <c r="D98" s="1">
        <v>28</v>
      </c>
      <c r="E98" s="1">
        <v>0</v>
      </c>
      <c r="F98" s="1">
        <v>28</v>
      </c>
      <c r="G98" s="1">
        <v>0</v>
      </c>
      <c r="H98" s="1">
        <v>36</v>
      </c>
      <c r="I98" s="1">
        <v>0</v>
      </c>
      <c r="J98" s="1">
        <v>0</v>
      </c>
      <c r="K98" s="1">
        <v>27</v>
      </c>
      <c r="L98" s="1">
        <v>28</v>
      </c>
      <c r="M98" s="1">
        <v>0</v>
      </c>
      <c r="N98" s="1">
        <v>34</v>
      </c>
      <c r="O98" s="1">
        <v>29</v>
      </c>
      <c r="P98" s="1"/>
      <c r="Q98" s="1"/>
      <c r="R98" s="1"/>
      <c r="S98" s="1"/>
      <c r="T98" s="1"/>
      <c r="U98" s="1"/>
      <c r="V98" s="1"/>
      <c r="W98" s="1"/>
      <c r="X98" s="1"/>
      <c r="Y98" s="1"/>
      <c r="Z98" s="1"/>
      <c r="AA98" s="1"/>
      <c r="AB98" s="1"/>
      <c r="AC98">
        <f t="shared" si="14"/>
        <v>210</v>
      </c>
      <c r="AD98">
        <f t="shared" si="15"/>
        <v>12</v>
      </c>
      <c r="AE98">
        <f t="shared" si="16"/>
        <v>5</v>
      </c>
      <c r="AF98">
        <f t="shared" si="17"/>
        <v>7</v>
      </c>
      <c r="AG98">
        <f t="shared" si="18"/>
        <v>30</v>
      </c>
    </row>
    <row r="99" spans="3:33">
      <c r="C99" t="s">
        <v>188</v>
      </c>
      <c r="D99" s="1">
        <v>26</v>
      </c>
      <c r="E99" s="1">
        <v>0</v>
      </c>
      <c r="F99" s="1">
        <v>31</v>
      </c>
      <c r="G99" s="1">
        <v>30</v>
      </c>
      <c r="H99" s="1">
        <v>30</v>
      </c>
      <c r="I99" s="1">
        <v>33</v>
      </c>
      <c r="J99" s="1">
        <v>0</v>
      </c>
      <c r="K99" s="1">
        <v>31</v>
      </c>
      <c r="L99" s="1">
        <v>30</v>
      </c>
      <c r="M99" s="1"/>
      <c r="N99" s="1"/>
      <c r="O99" s="1"/>
      <c r="P99" s="1"/>
      <c r="Q99" s="1"/>
      <c r="R99" s="1"/>
      <c r="S99" s="1"/>
      <c r="T99" s="1"/>
      <c r="U99" s="1"/>
      <c r="V99" s="1"/>
      <c r="W99" s="1"/>
      <c r="X99" s="1"/>
      <c r="Y99" s="1"/>
      <c r="Z99" s="1"/>
      <c r="AA99" s="1"/>
      <c r="AB99" s="1"/>
      <c r="AC99">
        <f t="shared" si="14"/>
        <v>211</v>
      </c>
      <c r="AD99">
        <f t="shared" si="15"/>
        <v>9</v>
      </c>
      <c r="AE99">
        <f t="shared" si="16"/>
        <v>2</v>
      </c>
      <c r="AF99">
        <f t="shared" si="17"/>
        <v>7</v>
      </c>
      <c r="AG99">
        <f t="shared" si="18"/>
        <v>30.142857142857142</v>
      </c>
    </row>
    <row r="100" spans="3:33">
      <c r="C100" t="s">
        <v>189</v>
      </c>
      <c r="D100" s="1">
        <v>28</v>
      </c>
      <c r="E100" s="1">
        <v>0</v>
      </c>
      <c r="F100" s="1">
        <v>30</v>
      </c>
      <c r="G100" s="1">
        <v>33</v>
      </c>
      <c r="H100" s="1">
        <v>33</v>
      </c>
      <c r="I100" s="1">
        <v>0</v>
      </c>
      <c r="J100" s="1">
        <v>29</v>
      </c>
      <c r="K100" s="1">
        <v>25</v>
      </c>
      <c r="L100" s="1">
        <v>30</v>
      </c>
      <c r="M100" s="1"/>
      <c r="N100" s="1"/>
      <c r="O100" s="1"/>
      <c r="P100" s="1"/>
      <c r="Q100" s="1"/>
      <c r="R100" s="1"/>
      <c r="S100" s="1"/>
      <c r="T100" s="1"/>
      <c r="U100" s="1"/>
      <c r="V100" s="1"/>
      <c r="W100" s="1"/>
      <c r="X100" s="1"/>
      <c r="Y100" s="1"/>
      <c r="Z100" s="1"/>
      <c r="AA100" s="1"/>
      <c r="AB100" s="1"/>
      <c r="AC100">
        <f t="shared" si="14"/>
        <v>208</v>
      </c>
      <c r="AD100">
        <f t="shared" si="15"/>
        <v>9</v>
      </c>
      <c r="AE100">
        <f t="shared" si="16"/>
        <v>2</v>
      </c>
      <c r="AF100">
        <f t="shared" si="17"/>
        <v>7</v>
      </c>
      <c r="AG100">
        <f t="shared" si="18"/>
        <v>29.714285714285715</v>
      </c>
    </row>
    <row r="101" spans="3:33">
      <c r="C101" t="s">
        <v>190</v>
      </c>
      <c r="D101" s="1">
        <v>27</v>
      </c>
      <c r="E101" s="1">
        <v>0</v>
      </c>
      <c r="F101" s="1">
        <v>31</v>
      </c>
      <c r="G101" s="1">
        <v>29</v>
      </c>
      <c r="H101" s="1">
        <v>26</v>
      </c>
      <c r="I101" s="1">
        <v>0</v>
      </c>
      <c r="J101" s="1">
        <v>26</v>
      </c>
      <c r="K101" s="1">
        <v>31</v>
      </c>
      <c r="L101" s="1">
        <v>66</v>
      </c>
      <c r="M101" s="1"/>
      <c r="N101" s="1"/>
      <c r="O101" s="1"/>
      <c r="P101" s="1"/>
      <c r="Q101" s="1"/>
      <c r="R101" s="1"/>
      <c r="S101" s="1"/>
      <c r="T101" s="1"/>
      <c r="U101" s="1"/>
      <c r="V101" s="1"/>
      <c r="W101" s="1"/>
      <c r="X101" s="1"/>
      <c r="Y101" s="1"/>
      <c r="Z101" s="1"/>
      <c r="AA101" s="1"/>
      <c r="AB101" s="1"/>
      <c r="AC101">
        <f t="shared" si="14"/>
        <v>236</v>
      </c>
      <c r="AD101">
        <f t="shared" si="15"/>
        <v>9</v>
      </c>
      <c r="AE101">
        <f t="shared" si="16"/>
        <v>2</v>
      </c>
      <c r="AF101">
        <f t="shared" si="17"/>
        <v>7</v>
      </c>
      <c r="AG101">
        <f t="shared" si="18"/>
        <v>33.714285714285715</v>
      </c>
    </row>
    <row r="102" spans="3:33">
      <c r="C102" t="s">
        <v>191</v>
      </c>
      <c r="D102" s="1">
        <v>32</v>
      </c>
      <c r="E102" s="1">
        <v>0</v>
      </c>
      <c r="F102" s="1">
        <v>27</v>
      </c>
      <c r="G102" s="1">
        <v>26</v>
      </c>
      <c r="H102" s="1">
        <v>28</v>
      </c>
      <c r="I102" s="1">
        <v>31</v>
      </c>
      <c r="J102" s="1">
        <v>0</v>
      </c>
      <c r="K102" s="1">
        <v>33</v>
      </c>
      <c r="L102" s="1">
        <v>26</v>
      </c>
      <c r="M102" s="1"/>
      <c r="N102" s="1"/>
      <c r="O102" s="1"/>
      <c r="P102" s="1"/>
      <c r="Q102" s="1"/>
      <c r="R102" s="1"/>
      <c r="S102" s="1"/>
      <c r="T102" s="1"/>
      <c r="U102" s="1"/>
      <c r="V102" s="1"/>
      <c r="W102" s="1"/>
      <c r="X102" s="1"/>
      <c r="Y102" s="1"/>
      <c r="Z102" s="1"/>
      <c r="AA102" s="1"/>
      <c r="AB102" s="1"/>
      <c r="AC102">
        <f t="shared" si="14"/>
        <v>203</v>
      </c>
      <c r="AD102">
        <f t="shared" si="15"/>
        <v>9</v>
      </c>
      <c r="AE102">
        <f t="shared" si="16"/>
        <v>2</v>
      </c>
      <c r="AF102">
        <f t="shared" si="17"/>
        <v>7</v>
      </c>
      <c r="AG102">
        <f t="shared" si="18"/>
        <v>29</v>
      </c>
    </row>
    <row r="103" spans="3:33">
      <c r="C103" t="s">
        <v>192</v>
      </c>
      <c r="D103" s="1">
        <v>25</v>
      </c>
      <c r="E103" s="1">
        <v>30</v>
      </c>
      <c r="F103" s="1">
        <v>33</v>
      </c>
      <c r="G103" s="1">
        <v>27</v>
      </c>
      <c r="H103" s="1">
        <v>31</v>
      </c>
      <c r="I103" s="1">
        <v>36</v>
      </c>
      <c r="J103" s="1">
        <v>0</v>
      </c>
      <c r="K103" s="1">
        <v>0</v>
      </c>
      <c r="L103" s="1">
        <v>0</v>
      </c>
      <c r="M103" s="1">
        <v>0</v>
      </c>
      <c r="N103" s="1">
        <v>0</v>
      </c>
      <c r="O103" s="1">
        <v>32</v>
      </c>
      <c r="P103" s="1"/>
      <c r="Q103" s="1"/>
      <c r="R103" s="1"/>
      <c r="S103" s="1"/>
      <c r="T103" s="1"/>
      <c r="U103" s="1"/>
      <c r="V103" s="1"/>
      <c r="W103" s="1"/>
      <c r="X103" s="1"/>
      <c r="Y103" s="1"/>
      <c r="Z103" s="1"/>
      <c r="AA103" s="1"/>
      <c r="AB103" s="1"/>
      <c r="AC103">
        <f t="shared" si="14"/>
        <v>214</v>
      </c>
      <c r="AD103">
        <f t="shared" si="15"/>
        <v>12</v>
      </c>
      <c r="AE103">
        <f t="shared" si="16"/>
        <v>5</v>
      </c>
      <c r="AF103">
        <f t="shared" si="17"/>
        <v>7</v>
      </c>
      <c r="AG103">
        <f t="shared" si="18"/>
        <v>30.571428571428573</v>
      </c>
    </row>
    <row r="104" spans="3:33">
      <c r="C104" t="s">
        <v>193</v>
      </c>
      <c r="D104" s="1">
        <v>0</v>
      </c>
      <c r="E104" s="1">
        <v>31</v>
      </c>
      <c r="F104" s="1">
        <v>29</v>
      </c>
      <c r="G104" s="1">
        <v>25</v>
      </c>
      <c r="H104" s="1">
        <v>32</v>
      </c>
      <c r="I104" s="1">
        <v>0</v>
      </c>
      <c r="J104" s="1">
        <v>34</v>
      </c>
      <c r="K104" s="1">
        <v>0</v>
      </c>
      <c r="L104" s="1">
        <v>36</v>
      </c>
      <c r="M104" s="1">
        <v>35</v>
      </c>
      <c r="N104" s="1"/>
      <c r="O104" s="1"/>
      <c r="P104" s="1"/>
      <c r="Q104" s="1"/>
      <c r="R104" s="1"/>
      <c r="S104" s="1"/>
      <c r="T104" s="1"/>
      <c r="U104" s="1"/>
      <c r="V104" s="1"/>
      <c r="W104" s="1"/>
      <c r="X104" s="1"/>
      <c r="Y104" s="1"/>
      <c r="Z104" s="1"/>
      <c r="AA104" s="1"/>
      <c r="AB104" s="1"/>
      <c r="AC104">
        <f t="shared" si="14"/>
        <v>222</v>
      </c>
      <c r="AD104">
        <f t="shared" si="15"/>
        <v>10</v>
      </c>
      <c r="AE104">
        <f t="shared" si="16"/>
        <v>3</v>
      </c>
      <c r="AF104">
        <f t="shared" si="17"/>
        <v>7</v>
      </c>
      <c r="AG104">
        <f t="shared" si="18"/>
        <v>31.714285714285715</v>
      </c>
    </row>
    <row r="105" spans="3:33">
      <c r="C105" t="s">
        <v>194</v>
      </c>
      <c r="D105" s="1">
        <v>0</v>
      </c>
      <c r="E105" s="1">
        <v>0</v>
      </c>
      <c r="F105" s="1">
        <v>27</v>
      </c>
      <c r="G105" s="1">
        <v>28</v>
      </c>
      <c r="H105" s="1">
        <v>0</v>
      </c>
      <c r="I105" s="1">
        <v>25</v>
      </c>
      <c r="J105" s="1">
        <v>31</v>
      </c>
      <c r="K105" s="1">
        <v>27</v>
      </c>
      <c r="L105" s="1">
        <v>29</v>
      </c>
      <c r="M105" s="1">
        <v>29</v>
      </c>
      <c r="N105" s="1">
        <v>29</v>
      </c>
      <c r="O105" s="1"/>
      <c r="P105" s="1"/>
      <c r="Q105" s="1"/>
      <c r="R105" s="1"/>
      <c r="S105" s="1"/>
      <c r="T105" s="1"/>
      <c r="U105" s="1"/>
      <c r="V105" s="1"/>
      <c r="W105" s="1"/>
      <c r="X105" s="1"/>
      <c r="Y105" s="1"/>
      <c r="Z105" s="1"/>
      <c r="AA105" s="1"/>
      <c r="AB105" s="1"/>
      <c r="AC105">
        <f t="shared" si="14"/>
        <v>225</v>
      </c>
      <c r="AD105">
        <f t="shared" si="15"/>
        <v>11</v>
      </c>
      <c r="AE105">
        <f t="shared" si="16"/>
        <v>3</v>
      </c>
      <c r="AF105">
        <f t="shared" si="17"/>
        <v>8</v>
      </c>
      <c r="AG105">
        <f t="shared" si="18"/>
        <v>28.125</v>
      </c>
    </row>
    <row r="106" spans="3:33">
      <c r="C106" t="s">
        <v>195</v>
      </c>
      <c r="D106" s="1">
        <v>32</v>
      </c>
      <c r="E106" s="1">
        <v>0</v>
      </c>
      <c r="F106" s="1">
        <v>28</v>
      </c>
      <c r="G106" s="1">
        <v>25</v>
      </c>
      <c r="H106" s="1">
        <v>0</v>
      </c>
      <c r="I106" s="1">
        <v>34</v>
      </c>
      <c r="J106" s="1">
        <v>0</v>
      </c>
      <c r="K106" s="1">
        <v>0</v>
      </c>
      <c r="L106" s="1">
        <v>0</v>
      </c>
      <c r="M106" s="1">
        <v>0</v>
      </c>
      <c r="N106" s="1">
        <v>29</v>
      </c>
      <c r="O106" s="1">
        <v>29</v>
      </c>
      <c r="P106" s="1">
        <v>34</v>
      </c>
      <c r="Q106" s="1"/>
      <c r="R106" s="1"/>
      <c r="S106" s="1"/>
      <c r="T106" s="1"/>
      <c r="U106" s="1"/>
      <c r="V106" s="1"/>
      <c r="W106" s="1"/>
      <c r="X106" s="1"/>
      <c r="Y106" s="1"/>
      <c r="Z106" s="1"/>
      <c r="AA106" s="1"/>
      <c r="AB106" s="1"/>
      <c r="AC106">
        <f t="shared" si="14"/>
        <v>211</v>
      </c>
      <c r="AD106">
        <f t="shared" si="15"/>
        <v>13</v>
      </c>
      <c r="AE106">
        <f t="shared" si="16"/>
        <v>6</v>
      </c>
      <c r="AF106">
        <f t="shared" si="17"/>
        <v>7</v>
      </c>
      <c r="AG106">
        <f t="shared" si="18"/>
        <v>30.142857142857142</v>
      </c>
    </row>
    <row r="107" spans="3:33">
      <c r="C107" t="s">
        <v>196</v>
      </c>
      <c r="D107" s="1">
        <v>30</v>
      </c>
      <c r="E107" s="1">
        <v>32</v>
      </c>
      <c r="F107" s="1">
        <v>33</v>
      </c>
      <c r="G107" s="1">
        <v>0</v>
      </c>
      <c r="H107" s="1">
        <v>31</v>
      </c>
      <c r="I107" s="1">
        <v>30</v>
      </c>
      <c r="J107" s="1">
        <v>29</v>
      </c>
      <c r="K107" s="1">
        <v>27</v>
      </c>
      <c r="L107" s="1"/>
      <c r="M107" s="1"/>
      <c r="N107" s="1"/>
      <c r="O107" s="1"/>
      <c r="P107" s="1"/>
      <c r="Q107" s="1"/>
      <c r="R107" s="1"/>
      <c r="S107" s="1"/>
      <c r="T107" s="1"/>
      <c r="U107" s="1"/>
      <c r="V107" s="1"/>
      <c r="W107" s="1"/>
      <c r="X107" s="1"/>
      <c r="Y107" s="1"/>
      <c r="Z107" s="1"/>
      <c r="AA107" s="1"/>
      <c r="AB107" s="1"/>
      <c r="AC107">
        <f t="shared" si="14"/>
        <v>212</v>
      </c>
      <c r="AD107">
        <f t="shared" si="15"/>
        <v>8</v>
      </c>
      <c r="AE107">
        <f t="shared" si="16"/>
        <v>1</v>
      </c>
      <c r="AF107">
        <f t="shared" si="17"/>
        <v>7</v>
      </c>
      <c r="AG107">
        <f t="shared" si="18"/>
        <v>30.285714285714285</v>
      </c>
    </row>
    <row r="108" spans="3:33">
      <c r="C108" t="s">
        <v>197</v>
      </c>
      <c r="D108" s="1">
        <v>29</v>
      </c>
      <c r="E108" s="1">
        <v>0</v>
      </c>
      <c r="F108" s="1">
        <v>29</v>
      </c>
      <c r="G108" s="1">
        <v>0</v>
      </c>
      <c r="H108" s="1">
        <v>0</v>
      </c>
      <c r="I108" s="1">
        <v>0</v>
      </c>
      <c r="J108" s="1">
        <v>0</v>
      </c>
      <c r="K108" s="1">
        <v>25</v>
      </c>
      <c r="L108" s="1">
        <v>32</v>
      </c>
      <c r="M108" s="1">
        <v>0</v>
      </c>
      <c r="N108" s="1">
        <v>0</v>
      </c>
      <c r="O108" s="1">
        <v>31</v>
      </c>
      <c r="P108" s="1">
        <v>25</v>
      </c>
      <c r="Q108" s="1">
        <v>0</v>
      </c>
      <c r="R108" s="1">
        <v>26</v>
      </c>
      <c r="S108" s="1">
        <v>0</v>
      </c>
      <c r="T108" s="1">
        <v>35</v>
      </c>
      <c r="U108" s="1"/>
      <c r="V108" s="1"/>
      <c r="W108" s="1"/>
      <c r="X108" s="1"/>
      <c r="Y108" s="1"/>
      <c r="Z108" s="1"/>
      <c r="AA108" s="1"/>
      <c r="AB108" s="1"/>
      <c r="AC108">
        <f t="shared" si="14"/>
        <v>232</v>
      </c>
      <c r="AD108">
        <f t="shared" si="15"/>
        <v>17</v>
      </c>
      <c r="AE108">
        <f t="shared" si="16"/>
        <v>9</v>
      </c>
      <c r="AF108">
        <f t="shared" si="17"/>
        <v>8</v>
      </c>
      <c r="AG108">
        <f t="shared" si="18"/>
        <v>29</v>
      </c>
    </row>
    <row r="109" spans="3:33">
      <c r="C109" t="s">
        <v>198</v>
      </c>
      <c r="D109" s="1">
        <v>0</v>
      </c>
      <c r="E109" s="1">
        <v>0</v>
      </c>
      <c r="F109" s="1">
        <v>0</v>
      </c>
      <c r="G109" s="1">
        <v>28</v>
      </c>
      <c r="H109" s="1">
        <v>0</v>
      </c>
      <c r="I109" s="1">
        <v>34</v>
      </c>
      <c r="J109" s="1">
        <v>32</v>
      </c>
      <c r="K109" s="1">
        <v>26</v>
      </c>
      <c r="L109" s="1">
        <v>0</v>
      </c>
      <c r="M109" s="1">
        <v>0</v>
      </c>
      <c r="N109" s="1">
        <v>0</v>
      </c>
      <c r="O109" s="1">
        <v>0</v>
      </c>
      <c r="P109" s="1">
        <v>31</v>
      </c>
      <c r="Q109" s="1">
        <v>36</v>
      </c>
      <c r="R109" s="1">
        <v>31</v>
      </c>
      <c r="S109" s="1"/>
      <c r="T109" s="1"/>
      <c r="U109" s="1"/>
      <c r="V109" s="1"/>
      <c r="W109" s="1"/>
      <c r="X109" s="1"/>
      <c r="Y109" s="1"/>
      <c r="Z109" s="1"/>
      <c r="AA109" s="1"/>
      <c r="AB109" s="1"/>
      <c r="AC109">
        <f t="shared" si="14"/>
        <v>218</v>
      </c>
      <c r="AD109">
        <f t="shared" si="15"/>
        <v>15</v>
      </c>
      <c r="AE109">
        <f t="shared" si="16"/>
        <v>8</v>
      </c>
      <c r="AF109">
        <f t="shared" si="17"/>
        <v>7</v>
      </c>
      <c r="AG109">
        <f t="shared" si="18"/>
        <v>31.142857142857142</v>
      </c>
    </row>
    <row r="110" spans="3:33">
      <c r="C110" t="s">
        <v>199</v>
      </c>
      <c r="D110" s="1">
        <v>34</v>
      </c>
      <c r="E110" s="1">
        <v>27</v>
      </c>
      <c r="F110" s="1">
        <v>0</v>
      </c>
      <c r="G110" s="1">
        <v>29</v>
      </c>
      <c r="H110" s="1">
        <v>0</v>
      </c>
      <c r="I110" s="1">
        <v>0</v>
      </c>
      <c r="J110" s="1">
        <v>26</v>
      </c>
      <c r="K110" s="1">
        <v>34</v>
      </c>
      <c r="L110" s="1">
        <v>28</v>
      </c>
      <c r="M110" s="1">
        <v>30</v>
      </c>
      <c r="N110" s="1"/>
      <c r="O110" s="1"/>
      <c r="P110" s="1"/>
      <c r="Q110" s="1"/>
      <c r="R110" s="1"/>
      <c r="S110" s="1"/>
      <c r="T110" s="1"/>
      <c r="U110" s="1"/>
      <c r="V110" s="1"/>
      <c r="W110" s="1"/>
      <c r="X110" s="1"/>
      <c r="Y110" s="1"/>
      <c r="Z110" s="1"/>
      <c r="AA110" s="1"/>
      <c r="AB110" s="1"/>
      <c r="AC110">
        <f t="shared" si="14"/>
        <v>208</v>
      </c>
      <c r="AD110">
        <f t="shared" si="15"/>
        <v>10</v>
      </c>
      <c r="AE110">
        <f t="shared" si="16"/>
        <v>3</v>
      </c>
      <c r="AF110">
        <f t="shared" si="17"/>
        <v>7</v>
      </c>
      <c r="AG110">
        <f t="shared" si="18"/>
        <v>29.714285714285715</v>
      </c>
    </row>
    <row r="111" spans="3:33">
      <c r="C111" t="s">
        <v>200</v>
      </c>
      <c r="D111" s="1">
        <v>34</v>
      </c>
      <c r="E111" s="1">
        <v>0</v>
      </c>
      <c r="F111" s="1">
        <v>0</v>
      </c>
      <c r="G111" s="1">
        <v>0</v>
      </c>
      <c r="H111" s="1">
        <v>67</v>
      </c>
      <c r="I111" s="1">
        <v>30</v>
      </c>
      <c r="J111" s="1">
        <v>0</v>
      </c>
      <c r="K111" s="1">
        <v>0</v>
      </c>
      <c r="L111" s="1">
        <v>27</v>
      </c>
      <c r="M111" s="1">
        <v>33</v>
      </c>
      <c r="N111" s="1">
        <v>28</v>
      </c>
      <c r="O111" s="1"/>
      <c r="P111" s="1"/>
      <c r="Q111" s="1"/>
      <c r="R111" s="1"/>
      <c r="S111" s="1"/>
      <c r="T111" s="1"/>
      <c r="U111" s="1"/>
      <c r="V111" s="1"/>
      <c r="W111" s="1"/>
      <c r="X111" s="1"/>
      <c r="Y111" s="1"/>
      <c r="Z111" s="1"/>
      <c r="AA111" s="1"/>
      <c r="AB111" s="1"/>
      <c r="AC111">
        <f t="shared" si="14"/>
        <v>219</v>
      </c>
      <c r="AD111">
        <f t="shared" si="15"/>
        <v>11</v>
      </c>
      <c r="AE111">
        <f t="shared" si="16"/>
        <v>5</v>
      </c>
      <c r="AF111">
        <f t="shared" si="17"/>
        <v>6</v>
      </c>
      <c r="AG111">
        <f t="shared" si="18"/>
        <v>36.5</v>
      </c>
    </row>
    <row r="112" spans="3:33">
      <c r="C112" t="s">
        <v>201</v>
      </c>
      <c r="D112" s="1">
        <v>0</v>
      </c>
      <c r="E112" s="1">
        <v>27</v>
      </c>
      <c r="F112" s="1">
        <v>29</v>
      </c>
      <c r="G112" s="1">
        <v>26</v>
      </c>
      <c r="H112" s="1">
        <v>25</v>
      </c>
      <c r="I112" s="1">
        <v>26</v>
      </c>
      <c r="J112" s="1">
        <v>30</v>
      </c>
      <c r="K112" s="1">
        <v>25</v>
      </c>
      <c r="L112" s="1">
        <v>0</v>
      </c>
      <c r="M112" s="1">
        <v>25</v>
      </c>
      <c r="N112" s="1"/>
      <c r="O112" s="1"/>
      <c r="P112" s="1"/>
      <c r="Q112" s="1"/>
      <c r="R112" s="1"/>
      <c r="S112" s="1"/>
      <c r="T112" s="1"/>
      <c r="U112" s="1"/>
      <c r="V112" s="1"/>
      <c r="W112" s="1"/>
      <c r="X112" s="1"/>
      <c r="Y112" s="1"/>
      <c r="Z112" s="1"/>
      <c r="AA112" s="1"/>
      <c r="AB112" s="1"/>
      <c r="AC112">
        <f t="shared" ref="AC112:AC115" si="19">SUM(D112:AB112)</f>
        <v>213</v>
      </c>
      <c r="AD112">
        <f t="shared" si="15"/>
        <v>10</v>
      </c>
      <c r="AE112">
        <f t="shared" si="16"/>
        <v>2</v>
      </c>
      <c r="AF112">
        <f t="shared" si="17"/>
        <v>8</v>
      </c>
      <c r="AG112">
        <f t="shared" si="18"/>
        <v>26.625</v>
      </c>
    </row>
    <row r="113" spans="3:33">
      <c r="C113" t="s">
        <v>202</v>
      </c>
      <c r="D113" s="1">
        <v>0</v>
      </c>
      <c r="E113" s="1">
        <v>0</v>
      </c>
      <c r="F113" s="1">
        <v>31</v>
      </c>
      <c r="G113" s="1">
        <v>36</v>
      </c>
      <c r="H113" s="1">
        <v>33</v>
      </c>
      <c r="I113" s="1">
        <v>0</v>
      </c>
      <c r="J113" s="1">
        <v>31</v>
      </c>
      <c r="K113" s="1">
        <v>0</v>
      </c>
      <c r="L113" s="1">
        <v>0</v>
      </c>
      <c r="M113" s="1">
        <v>0</v>
      </c>
      <c r="N113" s="1">
        <v>28</v>
      </c>
      <c r="O113" s="1">
        <v>25</v>
      </c>
      <c r="P113" s="1">
        <v>28</v>
      </c>
      <c r="Q113" s="1"/>
      <c r="R113" s="1"/>
      <c r="S113" s="1"/>
      <c r="T113" s="1"/>
      <c r="U113" s="1"/>
      <c r="V113" s="1"/>
      <c r="W113" s="1"/>
      <c r="X113" s="1"/>
      <c r="Y113" s="1"/>
      <c r="Z113" s="1"/>
      <c r="AA113" s="1"/>
      <c r="AB113" s="1"/>
      <c r="AC113">
        <f t="shared" si="19"/>
        <v>212</v>
      </c>
      <c r="AD113">
        <f t="shared" si="15"/>
        <v>13</v>
      </c>
      <c r="AE113">
        <f t="shared" si="16"/>
        <v>6</v>
      </c>
      <c r="AF113">
        <f t="shared" si="17"/>
        <v>7</v>
      </c>
      <c r="AG113">
        <f t="shared" si="18"/>
        <v>30.285714285714285</v>
      </c>
    </row>
    <row r="114" spans="3:33">
      <c r="C114" t="s">
        <v>203</v>
      </c>
      <c r="D114" s="1">
        <v>25</v>
      </c>
      <c r="E114" s="1">
        <v>0</v>
      </c>
      <c r="F114" s="1">
        <v>32</v>
      </c>
      <c r="G114" s="1">
        <v>30</v>
      </c>
      <c r="H114" s="1">
        <v>34</v>
      </c>
      <c r="I114" s="1">
        <v>29</v>
      </c>
      <c r="J114" s="1">
        <v>28</v>
      </c>
      <c r="K114" s="1">
        <v>25</v>
      </c>
      <c r="L114" s="1"/>
      <c r="M114" s="1"/>
      <c r="N114" s="1"/>
      <c r="O114" s="1"/>
      <c r="P114" s="1"/>
      <c r="Q114" s="1"/>
      <c r="R114" s="1"/>
      <c r="S114" s="1"/>
      <c r="T114" s="1"/>
      <c r="U114" s="1"/>
      <c r="V114" s="1"/>
      <c r="W114" s="1"/>
      <c r="X114" s="1"/>
      <c r="Y114" s="1"/>
      <c r="Z114" s="1"/>
      <c r="AA114" s="1"/>
      <c r="AB114" s="1"/>
      <c r="AC114">
        <f t="shared" si="19"/>
        <v>203</v>
      </c>
      <c r="AD114">
        <f t="shared" si="15"/>
        <v>8</v>
      </c>
      <c r="AE114">
        <f t="shared" si="16"/>
        <v>1</v>
      </c>
      <c r="AF114">
        <f t="shared" si="17"/>
        <v>7</v>
      </c>
      <c r="AG114">
        <f t="shared" si="18"/>
        <v>29</v>
      </c>
    </row>
    <row r="115" spans="3:33">
      <c r="C115" t="s">
        <v>204</v>
      </c>
      <c r="D115" s="1">
        <v>36</v>
      </c>
      <c r="E115" s="1">
        <v>0</v>
      </c>
      <c r="F115" s="1">
        <v>0</v>
      </c>
      <c r="G115" s="1">
        <v>26</v>
      </c>
      <c r="H115" s="1">
        <v>29</v>
      </c>
      <c r="I115" s="1">
        <v>33</v>
      </c>
      <c r="J115" s="1">
        <v>28</v>
      </c>
      <c r="K115" s="1">
        <v>31</v>
      </c>
      <c r="L115" s="1">
        <v>25</v>
      </c>
      <c r="M115" s="1"/>
      <c r="N115" s="1"/>
      <c r="O115" s="1"/>
      <c r="P115" s="1"/>
      <c r="Q115" s="1"/>
      <c r="R115" s="1"/>
      <c r="S115" s="1"/>
      <c r="T115" s="1"/>
      <c r="U115" s="1"/>
      <c r="V115" s="1"/>
      <c r="W115" s="1"/>
      <c r="X115" s="1"/>
      <c r="Y115" s="1"/>
      <c r="Z115" s="1"/>
      <c r="AA115" s="1"/>
      <c r="AB115" s="1"/>
      <c r="AC115">
        <f t="shared" si="19"/>
        <v>208</v>
      </c>
      <c r="AD115">
        <f t="shared" si="15"/>
        <v>9</v>
      </c>
      <c r="AE115">
        <f t="shared" si="16"/>
        <v>2</v>
      </c>
      <c r="AF115">
        <f t="shared" si="17"/>
        <v>7</v>
      </c>
      <c r="AG115">
        <f t="shared" si="18"/>
        <v>29.714285714285715</v>
      </c>
    </row>
    <row r="116" spans="3:33">
      <c r="AC116" t="s">
        <v>52</v>
      </c>
      <c r="AD116">
        <f>AVERAGE(AD16:AD115)</f>
        <v>10.46</v>
      </c>
      <c r="AE116">
        <f>AVERAGE(AE16:AE115)</f>
        <v>3.32</v>
      </c>
      <c r="AF116">
        <f>AVERAGE(AF16:AF115)</f>
        <v>7.14</v>
      </c>
      <c r="AG116">
        <f>AVERAGE(AG16:AG115)</f>
        <v>29.96363095238096</v>
      </c>
    </row>
  </sheetData>
  <conditionalFormatting sqref="D3:R12">
    <cfRule type="colorScale" priority="4">
      <colorScale>
        <cfvo type="min"/>
        <cfvo type="max"/>
        <color rgb="FFFF7128"/>
        <color theme="9"/>
      </colorScale>
    </cfRule>
    <cfRule type="cellIs" dxfId="16" priority="6" operator="equal">
      <formula>0</formula>
    </cfRule>
  </conditionalFormatting>
  <conditionalFormatting sqref="D16:AB115">
    <cfRule type="colorScale" priority="1">
      <colorScale>
        <cfvo type="min"/>
        <cfvo type="max"/>
        <color rgb="FFFF7128"/>
        <color theme="9"/>
      </colorScale>
    </cfRule>
    <cfRule type="cellIs" dxfId="15" priority="3" operator="equal">
      <formula>0</formula>
    </cfRule>
  </conditionalFormatting>
  <conditionalFormatting sqref="E7">
    <cfRule type="colorScale" priority="5">
      <colorScale>
        <cfvo type="min"/>
        <cfvo type="max"/>
        <color rgb="FFFF7128"/>
        <color theme="9"/>
      </colorScale>
    </cfRule>
  </conditionalFormatting>
  <conditionalFormatting sqref="E20 T20 X20 AB20 E30 E40 E50 E60 E70 E80 E90 E100 E110 T30 T40 T50 T60 T70 T80 T90 T100 T110 X30 X40 X50 X60 X70 X80 X90 X100 X110 AB30 AB40 AB50 AB60 AB70 AB80 AB90 AB100 AB110">
    <cfRule type="colorScale" priority="2">
      <colorScale>
        <cfvo type="min"/>
        <cfvo type="max"/>
        <color rgb="FFFF7128"/>
        <color theme="9"/>
      </colorScale>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3C4D7-11BE-473C-9A52-E91045D4DB7A}">
  <dimension ref="B2:AG116"/>
  <sheetViews>
    <sheetView topLeftCell="P88" workbookViewId="0">
      <selection activeCell="AD105" sqref="AD105"/>
    </sheetView>
  </sheetViews>
  <sheetFormatPr defaultRowHeight="15"/>
  <cols>
    <col min="2" max="2" width="21.85546875" bestFit="1" customWidth="1"/>
  </cols>
  <sheetData>
    <row r="2" spans="2:33">
      <c r="B2" t="s">
        <v>60</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33">
      <c r="C3" t="s">
        <v>18</v>
      </c>
      <c r="D3" s="1">
        <v>37</v>
      </c>
      <c r="E3" s="1">
        <v>30</v>
      </c>
      <c r="F3" s="1">
        <v>0</v>
      </c>
      <c r="G3" s="1">
        <v>0</v>
      </c>
      <c r="H3" s="1">
        <v>38</v>
      </c>
      <c r="I3" s="1">
        <v>34</v>
      </c>
      <c r="J3" s="1">
        <v>31</v>
      </c>
      <c r="K3" s="1">
        <v>0</v>
      </c>
      <c r="L3" s="1">
        <v>34</v>
      </c>
      <c r="M3" s="1"/>
      <c r="N3" s="1"/>
      <c r="O3" s="1"/>
      <c r="P3" s="1"/>
      <c r="Q3" s="1"/>
      <c r="R3" s="1"/>
      <c r="S3">
        <f>SUM(D3:R3)</f>
        <v>204</v>
      </c>
      <c r="T3">
        <f>COUNT(D3:R3)</f>
        <v>9</v>
      </c>
      <c r="U3">
        <f>COUNTIF(D3:R3,0)</f>
        <v>3</v>
      </c>
      <c r="V3">
        <f>T3-U3</f>
        <v>6</v>
      </c>
      <c r="W3">
        <f>S3/V3</f>
        <v>34</v>
      </c>
    </row>
    <row r="4" spans="2:33">
      <c r="C4" t="s">
        <v>31</v>
      </c>
      <c r="D4" s="1">
        <v>35</v>
      </c>
      <c r="E4" s="1">
        <v>0</v>
      </c>
      <c r="F4" s="1">
        <v>0</v>
      </c>
      <c r="G4" s="1">
        <v>32</v>
      </c>
      <c r="H4" s="1">
        <v>0</v>
      </c>
      <c r="I4" s="1">
        <v>31</v>
      </c>
      <c r="J4" s="1">
        <v>35</v>
      </c>
      <c r="K4" s="1">
        <v>31</v>
      </c>
      <c r="L4" s="1">
        <v>35</v>
      </c>
      <c r="M4" s="1">
        <v>57</v>
      </c>
      <c r="N4" s="1"/>
      <c r="O4" s="1"/>
      <c r="P4" s="1"/>
      <c r="Q4" s="1"/>
      <c r="R4" s="1"/>
      <c r="S4">
        <f t="shared" ref="S4:S12" si="0">SUM(D4:R4)</f>
        <v>256</v>
      </c>
      <c r="T4">
        <f t="shared" ref="T4:T12" si="1">COUNT(D4:R4)</f>
        <v>10</v>
      </c>
      <c r="U4">
        <f t="shared" ref="U4:U12" si="2">COUNTIF(D4:R4,0)</f>
        <v>3</v>
      </c>
      <c r="V4">
        <f t="shared" ref="V4:V12" si="3">T4-U4</f>
        <v>7</v>
      </c>
      <c r="W4">
        <f t="shared" ref="W4:W12" si="4">S4/V4</f>
        <v>36.571428571428569</v>
      </c>
    </row>
    <row r="5" spans="2:33">
      <c r="C5" t="s">
        <v>32</v>
      </c>
      <c r="D5" s="1">
        <v>0</v>
      </c>
      <c r="E5" s="1">
        <v>34</v>
      </c>
      <c r="F5" s="1">
        <v>38</v>
      </c>
      <c r="G5" s="1">
        <v>30</v>
      </c>
      <c r="H5" s="1">
        <v>37</v>
      </c>
      <c r="I5" s="1">
        <v>37</v>
      </c>
      <c r="J5" s="1">
        <v>37</v>
      </c>
      <c r="K5" s="1"/>
      <c r="L5" s="1"/>
      <c r="M5" s="1"/>
      <c r="N5" s="1"/>
      <c r="O5" s="1"/>
      <c r="P5" s="1"/>
      <c r="Q5" s="1"/>
      <c r="R5" s="1"/>
      <c r="S5">
        <f t="shared" si="0"/>
        <v>213</v>
      </c>
      <c r="T5">
        <f t="shared" si="1"/>
        <v>7</v>
      </c>
      <c r="U5">
        <f t="shared" si="2"/>
        <v>1</v>
      </c>
      <c r="V5">
        <f t="shared" si="3"/>
        <v>6</v>
      </c>
      <c r="W5">
        <f t="shared" si="4"/>
        <v>35.5</v>
      </c>
    </row>
    <row r="6" spans="2:33">
      <c r="C6" t="s">
        <v>33</v>
      </c>
      <c r="D6" s="1">
        <v>0</v>
      </c>
      <c r="E6" s="1">
        <v>32</v>
      </c>
      <c r="F6" s="1">
        <v>33</v>
      </c>
      <c r="G6" s="1">
        <v>0</v>
      </c>
      <c r="H6" s="1">
        <v>42</v>
      </c>
      <c r="I6" s="1">
        <v>35</v>
      </c>
      <c r="J6" s="1">
        <v>0</v>
      </c>
      <c r="K6" s="1">
        <v>34</v>
      </c>
      <c r="L6" s="1">
        <v>0</v>
      </c>
      <c r="M6" s="1">
        <v>0</v>
      </c>
      <c r="N6" s="1">
        <v>38</v>
      </c>
      <c r="O6" s="1"/>
      <c r="P6" s="1"/>
      <c r="Q6" s="1"/>
      <c r="R6" s="1"/>
      <c r="S6">
        <f t="shared" si="0"/>
        <v>214</v>
      </c>
      <c r="T6">
        <f t="shared" si="1"/>
        <v>11</v>
      </c>
      <c r="U6">
        <f t="shared" si="2"/>
        <v>5</v>
      </c>
      <c r="V6">
        <f t="shared" si="3"/>
        <v>6</v>
      </c>
      <c r="W6">
        <f t="shared" si="4"/>
        <v>35.666666666666664</v>
      </c>
    </row>
    <row r="7" spans="2:33">
      <c r="C7" t="s">
        <v>34</v>
      </c>
      <c r="D7" s="1">
        <v>37</v>
      </c>
      <c r="E7" s="1">
        <v>0</v>
      </c>
      <c r="F7" s="1">
        <v>33</v>
      </c>
      <c r="G7" s="1">
        <v>33</v>
      </c>
      <c r="H7" s="1">
        <v>0</v>
      </c>
      <c r="I7" s="1">
        <v>0</v>
      </c>
      <c r="J7" s="1">
        <v>0</v>
      </c>
      <c r="K7" s="1">
        <v>33</v>
      </c>
      <c r="L7" s="1">
        <v>32</v>
      </c>
      <c r="M7" s="1">
        <v>32</v>
      </c>
      <c r="N7" s="1"/>
      <c r="O7" s="1"/>
      <c r="P7" s="1"/>
      <c r="Q7" s="1"/>
      <c r="R7" s="1"/>
      <c r="S7">
        <f t="shared" si="0"/>
        <v>200</v>
      </c>
      <c r="T7">
        <f t="shared" si="1"/>
        <v>10</v>
      </c>
      <c r="U7">
        <f t="shared" si="2"/>
        <v>4</v>
      </c>
      <c r="V7">
        <f t="shared" si="3"/>
        <v>6</v>
      </c>
      <c r="W7">
        <f t="shared" si="4"/>
        <v>33.333333333333336</v>
      </c>
    </row>
    <row r="8" spans="2:33">
      <c r="C8" t="s">
        <v>35</v>
      </c>
      <c r="D8" s="1">
        <v>36</v>
      </c>
      <c r="E8" s="1">
        <v>30</v>
      </c>
      <c r="F8" s="1">
        <v>36</v>
      </c>
      <c r="G8" s="1">
        <v>34</v>
      </c>
      <c r="H8" s="1">
        <v>30</v>
      </c>
      <c r="I8" s="1">
        <v>30</v>
      </c>
      <c r="J8" s="1">
        <v>35</v>
      </c>
      <c r="K8" s="1"/>
      <c r="L8" s="1"/>
      <c r="M8" s="1"/>
      <c r="N8" s="1"/>
      <c r="O8" s="1"/>
      <c r="P8" s="1"/>
      <c r="Q8" s="1"/>
      <c r="R8" s="1"/>
      <c r="S8">
        <f t="shared" si="0"/>
        <v>231</v>
      </c>
      <c r="T8">
        <f t="shared" si="1"/>
        <v>7</v>
      </c>
      <c r="U8">
        <f t="shared" si="2"/>
        <v>0</v>
      </c>
      <c r="V8">
        <f t="shared" si="3"/>
        <v>7</v>
      </c>
      <c r="W8">
        <f t="shared" si="4"/>
        <v>33</v>
      </c>
    </row>
    <row r="9" spans="2:33">
      <c r="C9" t="s">
        <v>36</v>
      </c>
      <c r="D9" s="1">
        <v>0</v>
      </c>
      <c r="E9" s="1">
        <v>0</v>
      </c>
      <c r="F9" s="1">
        <v>0</v>
      </c>
      <c r="G9" s="1">
        <v>33</v>
      </c>
      <c r="H9" s="1">
        <v>40</v>
      </c>
      <c r="I9" s="1">
        <v>30</v>
      </c>
      <c r="J9" s="1">
        <v>30</v>
      </c>
      <c r="K9" s="1">
        <v>0</v>
      </c>
      <c r="L9" s="1">
        <v>34</v>
      </c>
      <c r="M9" s="1">
        <v>32</v>
      </c>
      <c r="N9" s="1">
        <v>32</v>
      </c>
      <c r="O9" s="1"/>
      <c r="P9" s="1"/>
      <c r="Q9" s="1"/>
      <c r="R9" s="1"/>
      <c r="S9">
        <f t="shared" si="0"/>
        <v>231</v>
      </c>
      <c r="T9">
        <f t="shared" si="1"/>
        <v>11</v>
      </c>
      <c r="U9">
        <f t="shared" si="2"/>
        <v>4</v>
      </c>
      <c r="V9">
        <f t="shared" si="3"/>
        <v>7</v>
      </c>
      <c r="W9">
        <f t="shared" si="4"/>
        <v>33</v>
      </c>
    </row>
    <row r="10" spans="2:33">
      <c r="C10" t="s">
        <v>37</v>
      </c>
      <c r="D10" s="1">
        <v>0</v>
      </c>
      <c r="E10" s="1">
        <v>0</v>
      </c>
      <c r="F10" s="1">
        <v>34</v>
      </c>
      <c r="G10" s="1">
        <v>31</v>
      </c>
      <c r="H10" s="1">
        <v>34</v>
      </c>
      <c r="I10" s="1">
        <v>0</v>
      </c>
      <c r="J10" s="1">
        <v>36</v>
      </c>
      <c r="K10" s="1">
        <v>36</v>
      </c>
      <c r="L10" s="1">
        <v>30</v>
      </c>
      <c r="M10" s="1"/>
      <c r="N10" s="1"/>
      <c r="O10" s="1"/>
      <c r="P10" s="1"/>
      <c r="Q10" s="1"/>
      <c r="R10" s="1"/>
      <c r="S10">
        <f t="shared" si="0"/>
        <v>201</v>
      </c>
      <c r="T10">
        <f t="shared" si="1"/>
        <v>9</v>
      </c>
      <c r="U10">
        <f t="shared" si="2"/>
        <v>3</v>
      </c>
      <c r="V10">
        <f t="shared" si="3"/>
        <v>6</v>
      </c>
      <c r="W10">
        <f t="shared" si="4"/>
        <v>33.5</v>
      </c>
    </row>
    <row r="11" spans="2:33">
      <c r="C11" t="s">
        <v>38</v>
      </c>
      <c r="D11" s="1">
        <v>35</v>
      </c>
      <c r="E11" s="1">
        <v>0</v>
      </c>
      <c r="F11" s="1">
        <v>30</v>
      </c>
      <c r="G11" s="1">
        <v>36</v>
      </c>
      <c r="H11" s="1">
        <v>0</v>
      </c>
      <c r="I11" s="1">
        <v>0</v>
      </c>
      <c r="J11" s="1">
        <v>36</v>
      </c>
      <c r="K11" s="1">
        <v>0</v>
      </c>
      <c r="L11" s="1">
        <v>37</v>
      </c>
      <c r="M11" s="1">
        <v>30</v>
      </c>
      <c r="N11" s="1"/>
      <c r="O11" s="1"/>
      <c r="P11" s="1"/>
      <c r="Q11" s="1"/>
      <c r="R11" s="1"/>
      <c r="S11">
        <f t="shared" si="0"/>
        <v>204</v>
      </c>
      <c r="T11">
        <f t="shared" si="1"/>
        <v>10</v>
      </c>
      <c r="U11">
        <f t="shared" si="2"/>
        <v>4</v>
      </c>
      <c r="V11">
        <f t="shared" si="3"/>
        <v>6</v>
      </c>
      <c r="W11">
        <f t="shared" si="4"/>
        <v>34</v>
      </c>
    </row>
    <row r="12" spans="2:33">
      <c r="C12" t="s">
        <v>39</v>
      </c>
      <c r="D12" s="1">
        <v>31</v>
      </c>
      <c r="E12" s="1">
        <v>0</v>
      </c>
      <c r="F12" s="1">
        <v>37</v>
      </c>
      <c r="G12" s="1">
        <v>0</v>
      </c>
      <c r="H12" s="1">
        <v>30</v>
      </c>
      <c r="I12" s="1">
        <v>31</v>
      </c>
      <c r="J12" s="1">
        <v>33</v>
      </c>
      <c r="K12" s="1">
        <v>36</v>
      </c>
      <c r="L12" s="1">
        <v>30</v>
      </c>
      <c r="M12" s="1"/>
      <c r="N12" s="1"/>
      <c r="O12" s="1"/>
      <c r="P12" s="1"/>
      <c r="Q12" s="1"/>
      <c r="R12" s="1"/>
      <c r="S12">
        <f t="shared" si="0"/>
        <v>228</v>
      </c>
      <c r="T12">
        <f t="shared" si="1"/>
        <v>9</v>
      </c>
      <c r="U12">
        <f t="shared" si="2"/>
        <v>2</v>
      </c>
      <c r="V12">
        <f t="shared" si="3"/>
        <v>7</v>
      </c>
      <c r="W12">
        <f t="shared" si="4"/>
        <v>32.571428571428569</v>
      </c>
    </row>
    <row r="13" spans="2:33">
      <c r="S13" t="s">
        <v>52</v>
      </c>
      <c r="T13">
        <f>AVERAGE(T3:T12)</f>
        <v>9.3000000000000007</v>
      </c>
      <c r="U13">
        <f t="shared" ref="U13:W13" si="5">AVERAGE(U3:U12)</f>
        <v>2.9</v>
      </c>
      <c r="V13">
        <f t="shared" si="5"/>
        <v>6.4</v>
      </c>
      <c r="W13">
        <f t="shared" si="5"/>
        <v>34.114285714285714</v>
      </c>
    </row>
    <row r="15" spans="2:33">
      <c r="D15" t="s">
        <v>19</v>
      </c>
      <c r="E15" t="s">
        <v>20</v>
      </c>
      <c r="F15" t="s">
        <v>21</v>
      </c>
      <c r="G15" t="s">
        <v>22</v>
      </c>
      <c r="H15" t="s">
        <v>23</v>
      </c>
      <c r="I15" t="s">
        <v>24</v>
      </c>
      <c r="J15" t="s">
        <v>25</v>
      </c>
      <c r="K15" t="s">
        <v>26</v>
      </c>
      <c r="L15" t="s">
        <v>27</v>
      </c>
      <c r="M15" t="s">
        <v>28</v>
      </c>
      <c r="N15" t="s">
        <v>29</v>
      </c>
      <c r="O15" t="s">
        <v>30</v>
      </c>
      <c r="P15" t="s">
        <v>40</v>
      </c>
      <c r="Q15" t="s">
        <v>41</v>
      </c>
      <c r="R15" t="s">
        <v>42</v>
      </c>
      <c r="S15" t="s">
        <v>72</v>
      </c>
      <c r="T15" t="s">
        <v>73</v>
      </c>
      <c r="U15" t="s">
        <v>74</v>
      </c>
      <c r="V15" t="s">
        <v>75</v>
      </c>
      <c r="W15" t="s">
        <v>76</v>
      </c>
      <c r="X15" t="s">
        <v>80</v>
      </c>
      <c r="Y15" t="s">
        <v>81</v>
      </c>
      <c r="Z15" t="s">
        <v>82</v>
      </c>
      <c r="AA15" t="s">
        <v>83</v>
      </c>
      <c r="AB15" t="s">
        <v>84</v>
      </c>
      <c r="AC15" t="s">
        <v>50</v>
      </c>
      <c r="AD15" t="s">
        <v>49</v>
      </c>
      <c r="AE15" t="s">
        <v>48</v>
      </c>
      <c r="AF15" t="s">
        <v>51</v>
      </c>
      <c r="AG15" t="s">
        <v>77</v>
      </c>
    </row>
    <row r="16" spans="2:33">
      <c r="C16" t="s">
        <v>18</v>
      </c>
      <c r="D16" s="1">
        <v>31</v>
      </c>
      <c r="E16" s="1">
        <v>0</v>
      </c>
      <c r="F16" s="1">
        <v>0</v>
      </c>
      <c r="G16" s="1">
        <v>0</v>
      </c>
      <c r="H16" s="1">
        <v>0</v>
      </c>
      <c r="I16" s="1">
        <v>0</v>
      </c>
      <c r="J16" s="1">
        <v>34</v>
      </c>
      <c r="K16" s="1">
        <v>34</v>
      </c>
      <c r="L16" s="1">
        <v>0</v>
      </c>
      <c r="M16" s="1">
        <v>0</v>
      </c>
      <c r="N16" s="1">
        <v>30</v>
      </c>
      <c r="O16" s="1">
        <v>0</v>
      </c>
      <c r="P16" s="1">
        <v>33</v>
      </c>
      <c r="Q16" s="1">
        <v>39</v>
      </c>
      <c r="R16" s="1"/>
      <c r="S16" s="1"/>
      <c r="T16" s="1"/>
      <c r="U16" s="1"/>
      <c r="V16" s="1"/>
      <c r="W16" s="1"/>
      <c r="X16" s="1"/>
      <c r="Y16" s="1"/>
      <c r="Z16" s="1"/>
      <c r="AA16" s="1"/>
      <c r="AB16" s="1"/>
      <c r="AC16">
        <f t="shared" ref="AC16:AC47" si="6">SUM(D16:AB16)</f>
        <v>201</v>
      </c>
      <c r="AD16">
        <f t="shared" ref="AD16:AD47" si="7">COUNT(D16:AB16)</f>
        <v>14</v>
      </c>
      <c r="AE16">
        <f t="shared" ref="AE16:AE47" si="8">COUNTIF(D16:AB16,0)</f>
        <v>8</v>
      </c>
      <c r="AF16">
        <f t="shared" ref="AF16:AF79" si="9">AD16-AE16</f>
        <v>6</v>
      </c>
      <c r="AG16">
        <f t="shared" ref="AG16:AG79" si="10">AC16/AF16</f>
        <v>33.5</v>
      </c>
    </row>
    <row r="17" spans="3:33">
      <c r="C17" t="s">
        <v>31</v>
      </c>
      <c r="D17" s="1">
        <v>0</v>
      </c>
      <c r="E17" s="1">
        <v>34</v>
      </c>
      <c r="F17" s="1">
        <v>0</v>
      </c>
      <c r="G17" s="1">
        <v>35</v>
      </c>
      <c r="H17" s="1">
        <v>0</v>
      </c>
      <c r="I17" s="1">
        <v>38</v>
      </c>
      <c r="J17" s="1">
        <v>32</v>
      </c>
      <c r="K17" s="1">
        <v>37</v>
      </c>
      <c r="L17" s="1">
        <v>37</v>
      </c>
      <c r="M17" s="1"/>
      <c r="N17" s="1"/>
      <c r="O17" s="1"/>
      <c r="P17" s="1"/>
      <c r="Q17" s="1"/>
      <c r="R17" s="1"/>
      <c r="S17" s="1"/>
      <c r="T17" s="1"/>
      <c r="U17" s="1"/>
      <c r="V17" s="1"/>
      <c r="W17" s="1"/>
      <c r="X17" s="1"/>
      <c r="Y17" s="1"/>
      <c r="Z17" s="1"/>
      <c r="AA17" s="1"/>
      <c r="AB17" s="1"/>
      <c r="AC17">
        <f t="shared" si="6"/>
        <v>213</v>
      </c>
      <c r="AD17">
        <f t="shared" si="7"/>
        <v>9</v>
      </c>
      <c r="AE17">
        <f t="shared" si="8"/>
        <v>3</v>
      </c>
      <c r="AF17">
        <f t="shared" si="9"/>
        <v>6</v>
      </c>
      <c r="AG17">
        <f t="shared" si="10"/>
        <v>35.5</v>
      </c>
    </row>
    <row r="18" spans="3:33">
      <c r="C18" t="s">
        <v>32</v>
      </c>
      <c r="D18" s="1">
        <v>36</v>
      </c>
      <c r="E18" s="1">
        <v>38</v>
      </c>
      <c r="F18" s="1">
        <v>39</v>
      </c>
      <c r="G18" s="1">
        <v>30</v>
      </c>
      <c r="H18" s="1">
        <v>38</v>
      </c>
      <c r="I18" s="1">
        <v>0</v>
      </c>
      <c r="J18" s="1">
        <v>31</v>
      </c>
      <c r="K18" s="1"/>
      <c r="L18" s="1"/>
      <c r="M18" s="1"/>
      <c r="N18" s="1"/>
      <c r="O18" s="1"/>
      <c r="P18" s="1"/>
      <c r="Q18" s="1"/>
      <c r="R18" s="1"/>
      <c r="S18" s="1"/>
      <c r="T18" s="1"/>
      <c r="U18" s="1"/>
      <c r="V18" s="1"/>
      <c r="W18" s="1"/>
      <c r="X18" s="1"/>
      <c r="Y18" s="1"/>
      <c r="Z18" s="1"/>
      <c r="AA18" s="1"/>
      <c r="AB18" s="1"/>
      <c r="AC18">
        <f t="shared" si="6"/>
        <v>212</v>
      </c>
      <c r="AD18">
        <f t="shared" si="7"/>
        <v>7</v>
      </c>
      <c r="AE18">
        <f t="shared" si="8"/>
        <v>1</v>
      </c>
      <c r="AF18">
        <f t="shared" si="9"/>
        <v>6</v>
      </c>
      <c r="AG18">
        <f t="shared" si="10"/>
        <v>35.333333333333336</v>
      </c>
    </row>
    <row r="19" spans="3:33">
      <c r="C19" t="s">
        <v>33</v>
      </c>
      <c r="D19" s="1">
        <v>37</v>
      </c>
      <c r="E19" s="1">
        <v>31</v>
      </c>
      <c r="F19" s="1">
        <v>33</v>
      </c>
      <c r="G19" s="1">
        <v>0</v>
      </c>
      <c r="H19" s="1">
        <v>0</v>
      </c>
      <c r="I19" s="1">
        <v>0</v>
      </c>
      <c r="J19" s="1">
        <v>34</v>
      </c>
      <c r="K19" s="1">
        <v>0</v>
      </c>
      <c r="L19" s="1">
        <v>36</v>
      </c>
      <c r="M19" s="1">
        <v>31</v>
      </c>
      <c r="N19" s="1"/>
      <c r="O19" s="1"/>
      <c r="P19" s="1"/>
      <c r="Q19" s="1"/>
      <c r="R19" s="1"/>
      <c r="S19" s="1"/>
      <c r="T19" s="1"/>
      <c r="U19" s="1"/>
      <c r="V19" s="1"/>
      <c r="W19" s="1"/>
      <c r="X19" s="1"/>
      <c r="Y19" s="1"/>
      <c r="Z19" s="1"/>
      <c r="AA19" s="1"/>
      <c r="AB19" s="1"/>
      <c r="AC19">
        <f t="shared" si="6"/>
        <v>202</v>
      </c>
      <c r="AD19">
        <f t="shared" si="7"/>
        <v>10</v>
      </c>
      <c r="AE19">
        <f t="shared" si="8"/>
        <v>4</v>
      </c>
      <c r="AF19">
        <f t="shared" si="9"/>
        <v>6</v>
      </c>
      <c r="AG19">
        <f t="shared" si="10"/>
        <v>33.666666666666664</v>
      </c>
    </row>
    <row r="20" spans="3:33">
      <c r="C20" t="s">
        <v>34</v>
      </c>
      <c r="D20" s="1">
        <v>30</v>
      </c>
      <c r="E20" s="1">
        <v>32</v>
      </c>
      <c r="F20" s="1">
        <v>34</v>
      </c>
      <c r="G20" s="1">
        <v>42</v>
      </c>
      <c r="H20" s="1">
        <v>0</v>
      </c>
      <c r="I20" s="1">
        <v>0</v>
      </c>
      <c r="J20" s="1">
        <v>33</v>
      </c>
      <c r="K20" s="1">
        <v>37</v>
      </c>
      <c r="L20" s="1"/>
      <c r="M20" s="1"/>
      <c r="N20" s="1"/>
      <c r="O20" s="1"/>
      <c r="P20" s="1"/>
      <c r="Q20" s="1"/>
      <c r="R20" s="1"/>
      <c r="S20" s="1"/>
      <c r="T20" s="1"/>
      <c r="U20" s="1"/>
      <c r="V20" s="1"/>
      <c r="W20" s="1"/>
      <c r="X20" s="1"/>
      <c r="Y20" s="1"/>
      <c r="Z20" s="1"/>
      <c r="AA20" s="1"/>
      <c r="AB20" s="1"/>
      <c r="AC20">
        <f t="shared" si="6"/>
        <v>208</v>
      </c>
      <c r="AD20">
        <f t="shared" si="7"/>
        <v>8</v>
      </c>
      <c r="AE20">
        <f t="shared" si="8"/>
        <v>2</v>
      </c>
      <c r="AF20">
        <f t="shared" si="9"/>
        <v>6</v>
      </c>
      <c r="AG20">
        <f t="shared" si="10"/>
        <v>34.666666666666664</v>
      </c>
    </row>
    <row r="21" spans="3:33">
      <c r="C21" t="s">
        <v>35</v>
      </c>
      <c r="D21" s="1">
        <v>0</v>
      </c>
      <c r="E21" s="1">
        <v>35</v>
      </c>
      <c r="F21" s="1">
        <v>35</v>
      </c>
      <c r="G21" s="1">
        <v>0</v>
      </c>
      <c r="H21" s="1">
        <v>41</v>
      </c>
      <c r="I21" s="1">
        <v>34</v>
      </c>
      <c r="J21" s="1">
        <v>36</v>
      </c>
      <c r="K21" s="1">
        <v>0</v>
      </c>
      <c r="L21" s="1">
        <v>36</v>
      </c>
      <c r="M21" s="1"/>
      <c r="N21" s="1"/>
      <c r="O21" s="1"/>
      <c r="P21" s="1"/>
      <c r="Q21" s="1"/>
      <c r="R21" s="1"/>
      <c r="S21" s="1"/>
      <c r="T21" s="1"/>
      <c r="U21" s="1"/>
      <c r="V21" s="1"/>
      <c r="W21" s="1"/>
      <c r="X21" s="1"/>
      <c r="Y21" s="1"/>
      <c r="Z21" s="1"/>
      <c r="AA21" s="1"/>
      <c r="AB21" s="1"/>
      <c r="AC21">
        <f t="shared" si="6"/>
        <v>217</v>
      </c>
      <c r="AD21">
        <f t="shared" si="7"/>
        <v>9</v>
      </c>
      <c r="AE21">
        <f t="shared" si="8"/>
        <v>3</v>
      </c>
      <c r="AF21">
        <f t="shared" si="9"/>
        <v>6</v>
      </c>
      <c r="AG21">
        <f t="shared" si="10"/>
        <v>36.166666666666664</v>
      </c>
    </row>
    <row r="22" spans="3:33">
      <c r="C22" t="s">
        <v>36</v>
      </c>
      <c r="D22" s="1">
        <v>36</v>
      </c>
      <c r="E22" s="1">
        <v>38</v>
      </c>
      <c r="F22" s="1">
        <v>0</v>
      </c>
      <c r="G22" s="1">
        <v>0</v>
      </c>
      <c r="H22" s="1">
        <v>34</v>
      </c>
      <c r="I22" s="1">
        <v>30</v>
      </c>
      <c r="J22" s="1">
        <v>40</v>
      </c>
      <c r="K22" s="1">
        <v>39</v>
      </c>
      <c r="L22" s="1"/>
      <c r="M22" s="1"/>
      <c r="N22" s="1"/>
      <c r="O22" s="1"/>
      <c r="P22" s="1"/>
      <c r="Q22" s="1"/>
      <c r="R22" s="1"/>
      <c r="S22" s="1"/>
      <c r="T22" s="1"/>
      <c r="U22" s="1"/>
      <c r="V22" s="1"/>
      <c r="W22" s="1"/>
      <c r="X22" s="1"/>
      <c r="Y22" s="1"/>
      <c r="Z22" s="1"/>
      <c r="AA22" s="1"/>
      <c r="AB22" s="1"/>
      <c r="AC22">
        <f t="shared" si="6"/>
        <v>217</v>
      </c>
      <c r="AD22">
        <f t="shared" si="7"/>
        <v>8</v>
      </c>
      <c r="AE22">
        <f t="shared" si="8"/>
        <v>2</v>
      </c>
      <c r="AF22">
        <f t="shared" si="9"/>
        <v>6</v>
      </c>
      <c r="AG22">
        <f t="shared" si="10"/>
        <v>36.166666666666664</v>
      </c>
    </row>
    <row r="23" spans="3:33">
      <c r="C23" t="s">
        <v>37</v>
      </c>
      <c r="D23" s="1">
        <v>36</v>
      </c>
      <c r="E23" s="1">
        <v>35</v>
      </c>
      <c r="F23" s="1">
        <v>0</v>
      </c>
      <c r="G23" s="1">
        <v>0</v>
      </c>
      <c r="H23" s="1">
        <v>36</v>
      </c>
      <c r="I23" s="1">
        <v>33</v>
      </c>
      <c r="J23" s="1">
        <v>0</v>
      </c>
      <c r="K23" s="1">
        <v>0</v>
      </c>
      <c r="L23" s="1">
        <v>0</v>
      </c>
      <c r="M23" s="1">
        <v>0</v>
      </c>
      <c r="N23" s="1">
        <v>36</v>
      </c>
      <c r="O23" s="1">
        <v>30</v>
      </c>
      <c r="P23" s="1"/>
      <c r="Q23" s="1"/>
      <c r="R23" s="1"/>
      <c r="S23" s="1"/>
      <c r="T23" s="1"/>
      <c r="U23" s="1"/>
      <c r="V23" s="1"/>
      <c r="W23" s="1"/>
      <c r="X23" s="1"/>
      <c r="Y23" s="1"/>
      <c r="Z23" s="1"/>
      <c r="AA23" s="1"/>
      <c r="AB23" s="1"/>
      <c r="AC23">
        <f t="shared" si="6"/>
        <v>206</v>
      </c>
      <c r="AD23">
        <f t="shared" si="7"/>
        <v>12</v>
      </c>
      <c r="AE23">
        <f t="shared" si="8"/>
        <v>6</v>
      </c>
      <c r="AF23">
        <f t="shared" si="9"/>
        <v>6</v>
      </c>
      <c r="AG23">
        <f t="shared" si="10"/>
        <v>34.333333333333336</v>
      </c>
    </row>
    <row r="24" spans="3:33">
      <c r="C24" t="s">
        <v>38</v>
      </c>
      <c r="D24" s="1">
        <v>0</v>
      </c>
      <c r="E24" s="1">
        <v>32</v>
      </c>
      <c r="F24" s="1">
        <v>34</v>
      </c>
      <c r="G24" s="1">
        <v>0</v>
      </c>
      <c r="H24" s="1">
        <v>0</v>
      </c>
      <c r="I24" s="1">
        <v>0</v>
      </c>
      <c r="J24" s="1">
        <v>0</v>
      </c>
      <c r="K24" s="1">
        <v>31</v>
      </c>
      <c r="L24" s="1">
        <v>38</v>
      </c>
      <c r="M24" s="1">
        <v>0</v>
      </c>
      <c r="N24" s="1">
        <v>31</v>
      </c>
      <c r="O24" s="1">
        <v>34</v>
      </c>
      <c r="P24" s="1"/>
      <c r="Q24" s="1"/>
      <c r="R24" s="1"/>
      <c r="S24" s="1"/>
      <c r="T24" s="1"/>
      <c r="U24" s="1"/>
      <c r="V24" s="1"/>
      <c r="W24" s="1"/>
      <c r="X24" s="1"/>
      <c r="Y24" s="1"/>
      <c r="Z24" s="1"/>
      <c r="AA24" s="1"/>
      <c r="AB24" s="1"/>
      <c r="AC24">
        <f t="shared" si="6"/>
        <v>200</v>
      </c>
      <c r="AD24">
        <f t="shared" si="7"/>
        <v>12</v>
      </c>
      <c r="AE24">
        <f t="shared" si="8"/>
        <v>6</v>
      </c>
      <c r="AF24">
        <f t="shared" si="9"/>
        <v>6</v>
      </c>
      <c r="AG24">
        <f t="shared" si="10"/>
        <v>33.333333333333336</v>
      </c>
    </row>
    <row r="25" spans="3:33">
      <c r="C25" t="s">
        <v>39</v>
      </c>
      <c r="D25" s="1">
        <v>0</v>
      </c>
      <c r="E25" s="1">
        <v>0</v>
      </c>
      <c r="F25" s="1">
        <v>36</v>
      </c>
      <c r="G25" s="1">
        <v>0</v>
      </c>
      <c r="H25" s="1">
        <v>33</v>
      </c>
      <c r="I25" s="1">
        <v>33</v>
      </c>
      <c r="J25" s="1">
        <v>35</v>
      </c>
      <c r="K25" s="1">
        <v>30</v>
      </c>
      <c r="L25" s="1">
        <v>0</v>
      </c>
      <c r="M25" s="1">
        <v>32</v>
      </c>
      <c r="N25" s="1">
        <v>0</v>
      </c>
      <c r="O25" s="1">
        <v>36</v>
      </c>
      <c r="P25" s="1"/>
      <c r="Q25" s="1"/>
      <c r="R25" s="1"/>
      <c r="S25" s="1"/>
      <c r="T25" s="1"/>
      <c r="U25" s="1"/>
      <c r="V25" s="1"/>
      <c r="W25" s="1"/>
      <c r="X25" s="1"/>
      <c r="Y25" s="1"/>
      <c r="Z25" s="1"/>
      <c r="AA25" s="1"/>
      <c r="AB25" s="1"/>
      <c r="AC25">
        <f t="shared" si="6"/>
        <v>235</v>
      </c>
      <c r="AD25">
        <f t="shared" si="7"/>
        <v>12</v>
      </c>
      <c r="AE25">
        <f t="shared" si="8"/>
        <v>5</v>
      </c>
      <c r="AF25">
        <f t="shared" si="9"/>
        <v>7</v>
      </c>
      <c r="AG25">
        <f t="shared" si="10"/>
        <v>33.571428571428569</v>
      </c>
    </row>
    <row r="26" spans="3:33">
      <c r="C26" t="s">
        <v>115</v>
      </c>
      <c r="D26" s="1">
        <v>0</v>
      </c>
      <c r="E26" s="1">
        <v>0</v>
      </c>
      <c r="F26" s="1">
        <v>0</v>
      </c>
      <c r="G26" s="1">
        <v>40</v>
      </c>
      <c r="H26" s="1">
        <v>36</v>
      </c>
      <c r="I26" s="1">
        <v>33</v>
      </c>
      <c r="J26" s="1">
        <v>31</v>
      </c>
      <c r="K26" s="1">
        <v>32</v>
      </c>
      <c r="L26" s="1">
        <v>34</v>
      </c>
      <c r="M26" s="1"/>
      <c r="N26" s="1"/>
      <c r="O26" s="1"/>
      <c r="P26" s="1"/>
      <c r="Q26" s="1"/>
      <c r="R26" s="1"/>
      <c r="S26" s="1"/>
      <c r="T26" s="1"/>
      <c r="U26" s="1"/>
      <c r="V26" s="1"/>
      <c r="W26" s="1"/>
      <c r="X26" s="1"/>
      <c r="Y26" s="1"/>
      <c r="Z26" s="1"/>
      <c r="AA26" s="1"/>
      <c r="AB26" s="1"/>
      <c r="AC26">
        <f t="shared" si="6"/>
        <v>206</v>
      </c>
      <c r="AD26">
        <f t="shared" si="7"/>
        <v>9</v>
      </c>
      <c r="AE26">
        <f t="shared" si="8"/>
        <v>3</v>
      </c>
      <c r="AF26">
        <f t="shared" si="9"/>
        <v>6</v>
      </c>
      <c r="AG26">
        <f t="shared" si="10"/>
        <v>34.333333333333336</v>
      </c>
    </row>
    <row r="27" spans="3:33">
      <c r="C27" t="s">
        <v>116</v>
      </c>
      <c r="D27" s="1">
        <v>0</v>
      </c>
      <c r="E27" s="1">
        <v>0</v>
      </c>
      <c r="F27" s="1">
        <v>0</v>
      </c>
      <c r="G27" s="1">
        <v>32</v>
      </c>
      <c r="H27" s="1">
        <v>0</v>
      </c>
      <c r="I27" s="1">
        <v>32</v>
      </c>
      <c r="J27" s="1">
        <v>0</v>
      </c>
      <c r="K27" s="1">
        <v>30</v>
      </c>
      <c r="L27" s="1">
        <v>32</v>
      </c>
      <c r="M27" s="1">
        <v>0</v>
      </c>
      <c r="N27" s="1">
        <v>0</v>
      </c>
      <c r="O27" s="1">
        <v>0</v>
      </c>
      <c r="P27" s="1">
        <v>36</v>
      </c>
      <c r="Q27" s="1">
        <v>34</v>
      </c>
      <c r="R27" s="1">
        <v>32</v>
      </c>
      <c r="S27" s="1"/>
      <c r="T27" s="1"/>
      <c r="U27" s="1"/>
      <c r="V27" s="1"/>
      <c r="W27" s="1"/>
      <c r="X27" s="1"/>
      <c r="Y27" s="1"/>
      <c r="Z27" s="1"/>
      <c r="AA27" s="1"/>
      <c r="AB27" s="1"/>
      <c r="AC27">
        <f t="shared" si="6"/>
        <v>228</v>
      </c>
      <c r="AD27">
        <f t="shared" si="7"/>
        <v>15</v>
      </c>
      <c r="AE27">
        <f t="shared" si="8"/>
        <v>8</v>
      </c>
      <c r="AF27">
        <f t="shared" si="9"/>
        <v>7</v>
      </c>
      <c r="AG27">
        <f t="shared" si="10"/>
        <v>32.571428571428569</v>
      </c>
    </row>
    <row r="28" spans="3:33">
      <c r="C28" t="s">
        <v>117</v>
      </c>
      <c r="D28" s="1">
        <v>33</v>
      </c>
      <c r="E28" s="1">
        <v>31</v>
      </c>
      <c r="F28" s="1">
        <v>30</v>
      </c>
      <c r="G28" s="1">
        <v>38</v>
      </c>
      <c r="H28" s="1">
        <v>32</v>
      </c>
      <c r="I28" s="1">
        <v>30</v>
      </c>
      <c r="J28" s="1">
        <v>40</v>
      </c>
      <c r="K28" s="1"/>
      <c r="L28" s="1"/>
      <c r="M28" s="1"/>
      <c r="N28" s="1"/>
      <c r="O28" s="1"/>
      <c r="P28" s="1"/>
      <c r="Q28" s="1"/>
      <c r="R28" s="1"/>
      <c r="S28" s="1"/>
      <c r="T28" s="1"/>
      <c r="U28" s="1"/>
      <c r="V28" s="1"/>
      <c r="W28" s="1"/>
      <c r="X28" s="1"/>
      <c r="Y28" s="1"/>
      <c r="Z28" s="1"/>
      <c r="AA28" s="1"/>
      <c r="AB28" s="1"/>
      <c r="AC28">
        <f t="shared" si="6"/>
        <v>234</v>
      </c>
      <c r="AD28">
        <f t="shared" si="7"/>
        <v>7</v>
      </c>
      <c r="AE28">
        <f t="shared" si="8"/>
        <v>0</v>
      </c>
      <c r="AF28">
        <f t="shared" si="9"/>
        <v>7</v>
      </c>
      <c r="AG28">
        <f t="shared" si="10"/>
        <v>33.428571428571431</v>
      </c>
    </row>
    <row r="29" spans="3:33">
      <c r="C29" t="s">
        <v>118</v>
      </c>
      <c r="D29" s="1">
        <v>0</v>
      </c>
      <c r="E29" s="1">
        <v>31</v>
      </c>
      <c r="F29" s="1">
        <v>31</v>
      </c>
      <c r="G29" s="1">
        <v>0</v>
      </c>
      <c r="H29" s="1">
        <v>0</v>
      </c>
      <c r="I29" s="1">
        <v>0</v>
      </c>
      <c r="J29" s="1">
        <v>30</v>
      </c>
      <c r="K29" s="1">
        <v>34</v>
      </c>
      <c r="L29" s="1">
        <v>41</v>
      </c>
      <c r="M29" s="1">
        <v>0</v>
      </c>
      <c r="N29" s="1">
        <v>38</v>
      </c>
      <c r="O29" s="1"/>
      <c r="P29" s="1"/>
      <c r="Q29" s="1"/>
      <c r="R29" s="1"/>
      <c r="S29" s="1"/>
      <c r="T29" s="1"/>
      <c r="U29" s="1"/>
      <c r="V29" s="1"/>
      <c r="W29" s="1"/>
      <c r="X29" s="1"/>
      <c r="Y29" s="1"/>
      <c r="Z29" s="1"/>
      <c r="AA29" s="1"/>
      <c r="AB29" s="1"/>
      <c r="AC29">
        <f t="shared" si="6"/>
        <v>205</v>
      </c>
      <c r="AD29">
        <f t="shared" si="7"/>
        <v>11</v>
      </c>
      <c r="AE29">
        <f t="shared" si="8"/>
        <v>5</v>
      </c>
      <c r="AF29">
        <f t="shared" si="9"/>
        <v>6</v>
      </c>
      <c r="AG29">
        <f t="shared" si="10"/>
        <v>34.166666666666664</v>
      </c>
    </row>
    <row r="30" spans="3:33">
      <c r="C30" t="s">
        <v>119</v>
      </c>
      <c r="D30" s="1">
        <v>0</v>
      </c>
      <c r="E30" s="1">
        <v>34</v>
      </c>
      <c r="F30" s="1">
        <v>0</v>
      </c>
      <c r="G30" s="1">
        <v>31</v>
      </c>
      <c r="H30" s="1">
        <v>38</v>
      </c>
      <c r="I30" s="1">
        <v>0</v>
      </c>
      <c r="J30" s="1">
        <v>0</v>
      </c>
      <c r="K30" s="1">
        <v>41</v>
      </c>
      <c r="L30" s="1">
        <v>33</v>
      </c>
      <c r="M30" s="1">
        <v>30</v>
      </c>
      <c r="N30" s="1"/>
      <c r="O30" s="1"/>
      <c r="P30" s="1"/>
      <c r="Q30" s="1"/>
      <c r="R30" s="1"/>
      <c r="S30" s="1"/>
      <c r="T30" s="1"/>
      <c r="U30" s="1"/>
      <c r="V30" s="1"/>
      <c r="W30" s="1"/>
      <c r="X30" s="1"/>
      <c r="Y30" s="1"/>
      <c r="Z30" s="1"/>
      <c r="AA30" s="1"/>
      <c r="AB30" s="1"/>
      <c r="AC30">
        <f t="shared" si="6"/>
        <v>207</v>
      </c>
      <c r="AD30">
        <f t="shared" si="7"/>
        <v>10</v>
      </c>
      <c r="AE30">
        <f t="shared" si="8"/>
        <v>4</v>
      </c>
      <c r="AF30">
        <f t="shared" si="9"/>
        <v>6</v>
      </c>
      <c r="AG30">
        <f t="shared" si="10"/>
        <v>34.5</v>
      </c>
    </row>
    <row r="31" spans="3:33">
      <c r="C31" t="s">
        <v>120</v>
      </c>
      <c r="D31" s="1">
        <v>36</v>
      </c>
      <c r="E31" s="1">
        <v>40</v>
      </c>
      <c r="F31" s="1">
        <v>33</v>
      </c>
      <c r="G31" s="1">
        <v>0</v>
      </c>
      <c r="H31" s="1">
        <v>39</v>
      </c>
      <c r="I31" s="1">
        <v>0</v>
      </c>
      <c r="J31" s="1">
        <v>33</v>
      </c>
      <c r="K31" s="1">
        <v>0</v>
      </c>
      <c r="L31" s="1">
        <v>30</v>
      </c>
      <c r="M31" s="1"/>
      <c r="N31" s="1"/>
      <c r="O31" s="1"/>
      <c r="P31" s="1"/>
      <c r="Q31" s="1"/>
      <c r="R31" s="1"/>
      <c r="S31" s="1"/>
      <c r="T31" s="1"/>
      <c r="U31" s="1"/>
      <c r="V31" s="1"/>
      <c r="W31" s="1"/>
      <c r="X31" s="1"/>
      <c r="Y31" s="1"/>
      <c r="Z31" s="1"/>
      <c r="AA31" s="1"/>
      <c r="AB31" s="1"/>
      <c r="AC31">
        <f t="shared" si="6"/>
        <v>211</v>
      </c>
      <c r="AD31">
        <f t="shared" si="7"/>
        <v>9</v>
      </c>
      <c r="AE31">
        <f t="shared" si="8"/>
        <v>3</v>
      </c>
      <c r="AF31">
        <f t="shared" si="9"/>
        <v>6</v>
      </c>
      <c r="AG31">
        <f t="shared" si="10"/>
        <v>35.166666666666664</v>
      </c>
    </row>
    <row r="32" spans="3:33">
      <c r="C32" t="s">
        <v>121</v>
      </c>
      <c r="D32" s="1">
        <v>0</v>
      </c>
      <c r="E32" s="1">
        <v>68</v>
      </c>
      <c r="F32" s="1">
        <v>0</v>
      </c>
      <c r="G32" s="1">
        <v>0</v>
      </c>
      <c r="H32" s="1">
        <v>36</v>
      </c>
      <c r="I32" s="1">
        <v>0</v>
      </c>
      <c r="J32" s="1">
        <v>33</v>
      </c>
      <c r="K32" s="1">
        <v>0</v>
      </c>
      <c r="L32" s="1">
        <v>30</v>
      </c>
      <c r="M32" s="1">
        <v>0</v>
      </c>
      <c r="N32" s="1">
        <v>33</v>
      </c>
      <c r="O32" s="1"/>
      <c r="P32" s="1"/>
      <c r="Q32" s="1"/>
      <c r="R32" s="1"/>
      <c r="S32" s="1"/>
      <c r="T32" s="1"/>
      <c r="U32" s="1"/>
      <c r="V32" s="1"/>
      <c r="W32" s="1"/>
      <c r="X32" s="1"/>
      <c r="Y32" s="1"/>
      <c r="Z32" s="1"/>
      <c r="AA32" s="1"/>
      <c r="AB32" s="1"/>
      <c r="AC32">
        <f t="shared" si="6"/>
        <v>200</v>
      </c>
      <c r="AD32">
        <f t="shared" si="7"/>
        <v>11</v>
      </c>
      <c r="AE32">
        <f t="shared" si="8"/>
        <v>6</v>
      </c>
      <c r="AF32">
        <f t="shared" si="9"/>
        <v>5</v>
      </c>
      <c r="AG32">
        <f t="shared" si="10"/>
        <v>40</v>
      </c>
    </row>
    <row r="33" spans="3:33">
      <c r="C33" t="s">
        <v>122</v>
      </c>
      <c r="D33" s="1">
        <v>33</v>
      </c>
      <c r="E33" s="1">
        <v>36</v>
      </c>
      <c r="F33" s="1">
        <v>35</v>
      </c>
      <c r="G33" s="1">
        <v>0</v>
      </c>
      <c r="H33" s="1">
        <v>0</v>
      </c>
      <c r="I33" s="1">
        <v>0</v>
      </c>
      <c r="J33" s="1">
        <v>31</v>
      </c>
      <c r="K33" s="1">
        <v>0</v>
      </c>
      <c r="L33" s="1">
        <v>33</v>
      </c>
      <c r="M33" s="1">
        <v>30</v>
      </c>
      <c r="N33" s="1">
        <v>36</v>
      </c>
      <c r="O33" s="1"/>
      <c r="P33" s="1"/>
      <c r="Q33" s="1"/>
      <c r="R33" s="1"/>
      <c r="S33" s="1"/>
      <c r="T33" s="1"/>
      <c r="U33" s="1"/>
      <c r="V33" s="1"/>
      <c r="W33" s="1"/>
      <c r="X33" s="1"/>
      <c r="Y33" s="1"/>
      <c r="Z33" s="1"/>
      <c r="AA33" s="1"/>
      <c r="AB33" s="1"/>
      <c r="AC33">
        <f t="shared" si="6"/>
        <v>234</v>
      </c>
      <c r="AD33">
        <f t="shared" si="7"/>
        <v>11</v>
      </c>
      <c r="AE33">
        <f t="shared" si="8"/>
        <v>4</v>
      </c>
      <c r="AF33">
        <f t="shared" si="9"/>
        <v>7</v>
      </c>
      <c r="AG33">
        <f t="shared" si="10"/>
        <v>33.428571428571431</v>
      </c>
    </row>
    <row r="34" spans="3:33">
      <c r="C34" t="s">
        <v>123</v>
      </c>
      <c r="D34" s="1">
        <v>30</v>
      </c>
      <c r="E34" s="1">
        <v>35</v>
      </c>
      <c r="F34" s="1">
        <v>0</v>
      </c>
      <c r="G34" s="1">
        <v>34</v>
      </c>
      <c r="H34" s="1">
        <v>0</v>
      </c>
      <c r="I34" s="1">
        <v>42</v>
      </c>
      <c r="J34" s="1">
        <v>38</v>
      </c>
      <c r="K34" s="1">
        <v>35</v>
      </c>
      <c r="L34" s="1"/>
      <c r="M34" s="1"/>
      <c r="N34" s="1"/>
      <c r="O34" s="1"/>
      <c r="P34" s="1"/>
      <c r="Q34" s="1"/>
      <c r="R34" s="1"/>
      <c r="S34" s="1"/>
      <c r="T34" s="1"/>
      <c r="U34" s="1"/>
      <c r="V34" s="1"/>
      <c r="W34" s="1"/>
      <c r="X34" s="1"/>
      <c r="Y34" s="1"/>
      <c r="Z34" s="1"/>
      <c r="AA34" s="1"/>
      <c r="AB34" s="1"/>
      <c r="AC34">
        <f t="shared" si="6"/>
        <v>214</v>
      </c>
      <c r="AD34">
        <f t="shared" si="7"/>
        <v>8</v>
      </c>
      <c r="AE34">
        <f t="shared" si="8"/>
        <v>2</v>
      </c>
      <c r="AF34">
        <f t="shared" si="9"/>
        <v>6</v>
      </c>
      <c r="AG34">
        <f t="shared" si="10"/>
        <v>35.666666666666664</v>
      </c>
    </row>
    <row r="35" spans="3:33">
      <c r="C35" t="s">
        <v>124</v>
      </c>
      <c r="D35" s="1">
        <v>0</v>
      </c>
      <c r="E35" s="1">
        <v>33</v>
      </c>
      <c r="F35" s="1">
        <v>30</v>
      </c>
      <c r="G35" s="1">
        <v>0</v>
      </c>
      <c r="H35" s="1">
        <v>0</v>
      </c>
      <c r="I35" s="1">
        <v>0</v>
      </c>
      <c r="J35" s="1">
        <v>39</v>
      </c>
      <c r="K35" s="1">
        <v>32</v>
      </c>
      <c r="L35" s="1">
        <v>0</v>
      </c>
      <c r="M35" s="1">
        <v>31</v>
      </c>
      <c r="N35" s="1">
        <v>32</v>
      </c>
      <c r="O35" s="1">
        <v>35</v>
      </c>
      <c r="P35" s="1"/>
      <c r="Q35" s="1"/>
      <c r="R35" s="1"/>
      <c r="S35" s="1"/>
      <c r="T35" s="1"/>
      <c r="U35" s="1"/>
      <c r="V35" s="1"/>
      <c r="W35" s="1"/>
      <c r="X35" s="1"/>
      <c r="Y35" s="1"/>
      <c r="Z35" s="1"/>
      <c r="AA35" s="1"/>
      <c r="AB35" s="1"/>
      <c r="AC35">
        <f t="shared" si="6"/>
        <v>232</v>
      </c>
      <c r="AD35">
        <f t="shared" si="7"/>
        <v>12</v>
      </c>
      <c r="AE35">
        <f t="shared" si="8"/>
        <v>5</v>
      </c>
      <c r="AF35">
        <f t="shared" si="9"/>
        <v>7</v>
      </c>
      <c r="AG35">
        <f t="shared" si="10"/>
        <v>33.142857142857146</v>
      </c>
    </row>
    <row r="36" spans="3:33">
      <c r="C36" t="s">
        <v>125</v>
      </c>
      <c r="D36" s="1">
        <v>34</v>
      </c>
      <c r="E36" s="1">
        <v>0</v>
      </c>
      <c r="F36" s="1">
        <v>31</v>
      </c>
      <c r="G36" s="1">
        <v>0</v>
      </c>
      <c r="H36" s="1">
        <v>0</v>
      </c>
      <c r="I36" s="1">
        <v>31</v>
      </c>
      <c r="J36" s="1">
        <v>0</v>
      </c>
      <c r="K36" s="1">
        <v>35</v>
      </c>
      <c r="L36" s="1">
        <v>0</v>
      </c>
      <c r="M36" s="1">
        <v>30</v>
      </c>
      <c r="N36" s="1">
        <v>0</v>
      </c>
      <c r="O36" s="1">
        <v>41</v>
      </c>
      <c r="P36" s="1"/>
      <c r="Q36" s="1"/>
      <c r="R36" s="1"/>
      <c r="S36" s="1"/>
      <c r="T36" s="1"/>
      <c r="U36" s="1"/>
      <c r="V36" s="1"/>
      <c r="W36" s="1"/>
      <c r="X36" s="1"/>
      <c r="Y36" s="1"/>
      <c r="Z36" s="1"/>
      <c r="AA36" s="1"/>
      <c r="AB36" s="1"/>
      <c r="AC36">
        <f t="shared" si="6"/>
        <v>202</v>
      </c>
      <c r="AD36">
        <f t="shared" si="7"/>
        <v>12</v>
      </c>
      <c r="AE36">
        <f t="shared" si="8"/>
        <v>6</v>
      </c>
      <c r="AF36">
        <f t="shared" si="9"/>
        <v>6</v>
      </c>
      <c r="AG36">
        <f t="shared" si="10"/>
        <v>33.666666666666664</v>
      </c>
    </row>
    <row r="37" spans="3:33">
      <c r="C37" t="s">
        <v>126</v>
      </c>
      <c r="D37" s="1">
        <v>39</v>
      </c>
      <c r="E37" s="1">
        <v>38</v>
      </c>
      <c r="F37" s="1">
        <v>0</v>
      </c>
      <c r="G37" s="1">
        <v>32</v>
      </c>
      <c r="H37" s="1">
        <v>32</v>
      </c>
      <c r="I37" s="1">
        <v>0</v>
      </c>
      <c r="J37" s="1">
        <v>36</v>
      </c>
      <c r="K37" s="1">
        <v>0</v>
      </c>
      <c r="L37" s="1">
        <v>31</v>
      </c>
      <c r="M37" s="1"/>
      <c r="N37" s="1"/>
      <c r="O37" s="1"/>
      <c r="P37" s="1"/>
      <c r="Q37" s="1"/>
      <c r="R37" s="1"/>
      <c r="S37" s="1"/>
      <c r="T37" s="1"/>
      <c r="U37" s="1"/>
      <c r="V37" s="1"/>
      <c r="W37" s="1"/>
      <c r="X37" s="1"/>
      <c r="Y37" s="1"/>
      <c r="Z37" s="1"/>
      <c r="AA37" s="1"/>
      <c r="AB37" s="1"/>
      <c r="AC37">
        <f t="shared" si="6"/>
        <v>208</v>
      </c>
      <c r="AD37">
        <f t="shared" si="7"/>
        <v>9</v>
      </c>
      <c r="AE37">
        <f t="shared" si="8"/>
        <v>3</v>
      </c>
      <c r="AF37">
        <f t="shared" si="9"/>
        <v>6</v>
      </c>
      <c r="AG37">
        <f t="shared" si="10"/>
        <v>34.666666666666664</v>
      </c>
    </row>
    <row r="38" spans="3:33">
      <c r="C38" t="s">
        <v>127</v>
      </c>
      <c r="D38" s="1">
        <v>36</v>
      </c>
      <c r="E38" s="1">
        <v>0</v>
      </c>
      <c r="F38" s="1">
        <v>35</v>
      </c>
      <c r="G38" s="1">
        <v>0</v>
      </c>
      <c r="H38" s="1">
        <v>30</v>
      </c>
      <c r="I38" s="1">
        <v>0</v>
      </c>
      <c r="J38" s="1">
        <v>0</v>
      </c>
      <c r="K38" s="1">
        <v>60</v>
      </c>
      <c r="L38" s="1">
        <v>0</v>
      </c>
      <c r="M38" s="1">
        <v>0</v>
      </c>
      <c r="N38" s="1">
        <v>0</v>
      </c>
      <c r="O38" s="1">
        <v>34</v>
      </c>
      <c r="P38" s="1">
        <v>35</v>
      </c>
      <c r="Q38" s="1"/>
      <c r="R38" s="1"/>
      <c r="S38" s="1"/>
      <c r="T38" s="1"/>
      <c r="U38" s="1"/>
      <c r="V38" s="1"/>
      <c r="W38" s="1"/>
      <c r="X38" s="1"/>
      <c r="Y38" s="1"/>
      <c r="Z38" s="1"/>
      <c r="AA38" s="1"/>
      <c r="AB38" s="1"/>
      <c r="AC38">
        <f t="shared" si="6"/>
        <v>230</v>
      </c>
      <c r="AD38">
        <f t="shared" si="7"/>
        <v>13</v>
      </c>
      <c r="AE38">
        <f t="shared" si="8"/>
        <v>7</v>
      </c>
      <c r="AF38">
        <f t="shared" si="9"/>
        <v>6</v>
      </c>
      <c r="AG38">
        <f t="shared" si="10"/>
        <v>38.333333333333336</v>
      </c>
    </row>
    <row r="39" spans="3:33">
      <c r="C39" t="s">
        <v>128</v>
      </c>
      <c r="D39" s="1">
        <v>31</v>
      </c>
      <c r="E39" s="1">
        <v>34</v>
      </c>
      <c r="F39" s="1">
        <v>0</v>
      </c>
      <c r="G39" s="1">
        <v>32</v>
      </c>
      <c r="H39" s="1">
        <v>30</v>
      </c>
      <c r="I39" s="1">
        <v>36</v>
      </c>
      <c r="J39" s="1">
        <v>33</v>
      </c>
      <c r="K39" s="1">
        <v>34</v>
      </c>
      <c r="L39" s="1"/>
      <c r="M39" s="1"/>
      <c r="N39" s="1"/>
      <c r="O39" s="1"/>
      <c r="P39" s="1"/>
      <c r="Q39" s="1"/>
      <c r="R39" s="1"/>
      <c r="S39" s="1"/>
      <c r="T39" s="1"/>
      <c r="U39" s="1"/>
      <c r="V39" s="1"/>
      <c r="W39" s="1"/>
      <c r="X39" s="1"/>
      <c r="Y39" s="1"/>
      <c r="Z39" s="1"/>
      <c r="AA39" s="1"/>
      <c r="AB39" s="1"/>
      <c r="AC39">
        <f t="shared" si="6"/>
        <v>230</v>
      </c>
      <c r="AD39">
        <f t="shared" si="7"/>
        <v>8</v>
      </c>
      <c r="AE39">
        <f t="shared" si="8"/>
        <v>1</v>
      </c>
      <c r="AF39">
        <f t="shared" si="9"/>
        <v>7</v>
      </c>
      <c r="AG39">
        <f t="shared" si="10"/>
        <v>32.857142857142854</v>
      </c>
    </row>
    <row r="40" spans="3:33">
      <c r="C40" t="s">
        <v>129</v>
      </c>
      <c r="D40" s="1">
        <v>34</v>
      </c>
      <c r="E40" s="1">
        <v>31</v>
      </c>
      <c r="F40" s="1">
        <v>30</v>
      </c>
      <c r="G40" s="1">
        <v>0</v>
      </c>
      <c r="H40" s="1">
        <v>34</v>
      </c>
      <c r="I40" s="1">
        <v>0</v>
      </c>
      <c r="J40" s="1">
        <v>35</v>
      </c>
      <c r="K40" s="1">
        <v>38</v>
      </c>
      <c r="L40" s="1"/>
      <c r="M40" s="1"/>
      <c r="N40" s="1"/>
      <c r="O40" s="1"/>
      <c r="P40" s="1"/>
      <c r="Q40" s="1"/>
      <c r="R40" s="1"/>
      <c r="S40" s="1"/>
      <c r="T40" s="1"/>
      <c r="U40" s="1"/>
      <c r="V40" s="1"/>
      <c r="W40" s="1"/>
      <c r="X40" s="1"/>
      <c r="Y40" s="1"/>
      <c r="Z40" s="1"/>
      <c r="AA40" s="1"/>
      <c r="AB40" s="1"/>
      <c r="AC40">
        <f t="shared" si="6"/>
        <v>202</v>
      </c>
      <c r="AD40">
        <f t="shared" si="7"/>
        <v>8</v>
      </c>
      <c r="AE40">
        <f t="shared" si="8"/>
        <v>2</v>
      </c>
      <c r="AF40">
        <f t="shared" si="9"/>
        <v>6</v>
      </c>
      <c r="AG40">
        <f t="shared" si="10"/>
        <v>33.666666666666664</v>
      </c>
    </row>
    <row r="41" spans="3:33">
      <c r="C41" t="s">
        <v>130</v>
      </c>
      <c r="D41" s="1">
        <v>0</v>
      </c>
      <c r="E41" s="1">
        <v>32</v>
      </c>
      <c r="F41" s="1">
        <v>0</v>
      </c>
      <c r="G41" s="1">
        <v>0</v>
      </c>
      <c r="H41" s="1">
        <v>0</v>
      </c>
      <c r="I41" s="1">
        <v>0</v>
      </c>
      <c r="J41" s="1">
        <v>30</v>
      </c>
      <c r="K41" s="1">
        <v>0</v>
      </c>
      <c r="L41" s="1">
        <v>35</v>
      </c>
      <c r="M41" s="1">
        <v>34</v>
      </c>
      <c r="N41" s="1">
        <v>30</v>
      </c>
      <c r="O41" s="1">
        <v>35</v>
      </c>
      <c r="P41" s="1">
        <v>32</v>
      </c>
      <c r="Q41" s="1"/>
      <c r="R41" s="1"/>
      <c r="S41" s="1"/>
      <c r="T41" s="1"/>
      <c r="U41" s="1"/>
      <c r="V41" s="1"/>
      <c r="W41" s="1"/>
      <c r="X41" s="1"/>
      <c r="Y41" s="1"/>
      <c r="Z41" s="1"/>
      <c r="AA41" s="1"/>
      <c r="AB41" s="1"/>
      <c r="AC41">
        <f t="shared" si="6"/>
        <v>228</v>
      </c>
      <c r="AD41">
        <f t="shared" si="7"/>
        <v>13</v>
      </c>
      <c r="AE41">
        <f t="shared" si="8"/>
        <v>6</v>
      </c>
      <c r="AF41">
        <f t="shared" si="9"/>
        <v>7</v>
      </c>
      <c r="AG41">
        <f t="shared" si="10"/>
        <v>32.571428571428569</v>
      </c>
    </row>
    <row r="42" spans="3:33">
      <c r="C42" t="s">
        <v>131</v>
      </c>
      <c r="D42" s="1">
        <v>31</v>
      </c>
      <c r="E42" s="1">
        <v>0</v>
      </c>
      <c r="F42" s="1">
        <v>0</v>
      </c>
      <c r="G42" s="1">
        <v>0</v>
      </c>
      <c r="H42" s="1">
        <v>0</v>
      </c>
      <c r="I42" s="1">
        <v>0</v>
      </c>
      <c r="J42" s="1">
        <v>0</v>
      </c>
      <c r="K42" s="1">
        <v>34</v>
      </c>
      <c r="L42" s="1">
        <v>0</v>
      </c>
      <c r="M42" s="1">
        <v>0</v>
      </c>
      <c r="N42" s="1">
        <v>36</v>
      </c>
      <c r="O42" s="1">
        <v>0</v>
      </c>
      <c r="P42" s="1">
        <v>33</v>
      </c>
      <c r="Q42" s="1">
        <v>0</v>
      </c>
      <c r="R42" s="1">
        <v>32</v>
      </c>
      <c r="S42" s="1">
        <v>0</v>
      </c>
      <c r="T42" s="1">
        <v>0</v>
      </c>
      <c r="U42" s="1">
        <v>30</v>
      </c>
      <c r="V42" s="1">
        <v>0</v>
      </c>
      <c r="W42" s="1">
        <v>0</v>
      </c>
      <c r="X42" s="1">
        <v>36</v>
      </c>
      <c r="Y42" s="1"/>
      <c r="Z42" s="1"/>
      <c r="AA42" s="1"/>
      <c r="AB42" s="1"/>
      <c r="AC42">
        <f t="shared" si="6"/>
        <v>232</v>
      </c>
      <c r="AD42">
        <f t="shared" si="7"/>
        <v>21</v>
      </c>
      <c r="AE42">
        <f t="shared" si="8"/>
        <v>14</v>
      </c>
      <c r="AF42">
        <f t="shared" si="9"/>
        <v>7</v>
      </c>
      <c r="AG42">
        <f t="shared" si="10"/>
        <v>33.142857142857146</v>
      </c>
    </row>
    <row r="43" spans="3:33">
      <c r="C43" t="s">
        <v>132</v>
      </c>
      <c r="D43" s="1">
        <v>34</v>
      </c>
      <c r="E43" s="1">
        <v>36</v>
      </c>
      <c r="F43" s="1">
        <v>36</v>
      </c>
      <c r="G43" s="1">
        <v>0</v>
      </c>
      <c r="H43" s="1">
        <v>0</v>
      </c>
      <c r="I43" s="1">
        <v>34</v>
      </c>
      <c r="J43" s="1">
        <v>0</v>
      </c>
      <c r="K43" s="1">
        <v>34</v>
      </c>
      <c r="L43" s="1">
        <v>38</v>
      </c>
      <c r="M43" s="1"/>
      <c r="N43" s="1"/>
      <c r="O43" s="1"/>
      <c r="P43" s="1"/>
      <c r="Q43" s="1"/>
      <c r="R43" s="1"/>
      <c r="S43" s="1"/>
      <c r="T43" s="1"/>
      <c r="U43" s="1"/>
      <c r="V43" s="1"/>
      <c r="W43" s="1"/>
      <c r="X43" s="1"/>
      <c r="Y43" s="1"/>
      <c r="Z43" s="1"/>
      <c r="AA43" s="1"/>
      <c r="AB43" s="1"/>
      <c r="AC43">
        <f t="shared" si="6"/>
        <v>212</v>
      </c>
      <c r="AD43">
        <f t="shared" si="7"/>
        <v>9</v>
      </c>
      <c r="AE43">
        <f t="shared" si="8"/>
        <v>3</v>
      </c>
      <c r="AF43">
        <f t="shared" si="9"/>
        <v>6</v>
      </c>
      <c r="AG43">
        <f t="shared" si="10"/>
        <v>35.333333333333336</v>
      </c>
    </row>
    <row r="44" spans="3:33">
      <c r="C44" t="s">
        <v>133</v>
      </c>
      <c r="D44" s="1">
        <v>32</v>
      </c>
      <c r="E44" s="1">
        <v>0</v>
      </c>
      <c r="F44" s="1">
        <v>0</v>
      </c>
      <c r="G44" s="1">
        <v>31</v>
      </c>
      <c r="H44" s="1">
        <v>30</v>
      </c>
      <c r="I44" s="1">
        <v>0</v>
      </c>
      <c r="J44" s="1">
        <v>0</v>
      </c>
      <c r="K44" s="1">
        <v>39</v>
      </c>
      <c r="L44" s="1">
        <v>32</v>
      </c>
      <c r="M44" s="1">
        <v>31</v>
      </c>
      <c r="N44" s="1">
        <v>32</v>
      </c>
      <c r="O44" s="1"/>
      <c r="P44" s="1"/>
      <c r="Q44" s="1"/>
      <c r="R44" s="1"/>
      <c r="S44" s="1"/>
      <c r="T44" s="1"/>
      <c r="U44" s="1"/>
      <c r="V44" s="1"/>
      <c r="W44" s="1"/>
      <c r="X44" s="1"/>
      <c r="Y44" s="1"/>
      <c r="Z44" s="1"/>
      <c r="AA44" s="1"/>
      <c r="AB44" s="1"/>
      <c r="AC44">
        <f t="shared" si="6"/>
        <v>227</v>
      </c>
      <c r="AD44">
        <f t="shared" si="7"/>
        <v>11</v>
      </c>
      <c r="AE44">
        <f t="shared" si="8"/>
        <v>4</v>
      </c>
      <c r="AF44">
        <f t="shared" si="9"/>
        <v>7</v>
      </c>
      <c r="AG44">
        <f t="shared" si="10"/>
        <v>32.428571428571431</v>
      </c>
    </row>
    <row r="45" spans="3:33">
      <c r="C45" t="s">
        <v>134</v>
      </c>
      <c r="D45" s="1">
        <v>37</v>
      </c>
      <c r="E45" s="1">
        <v>0</v>
      </c>
      <c r="F45" s="1">
        <v>36</v>
      </c>
      <c r="G45" s="1">
        <v>0</v>
      </c>
      <c r="H45" s="1">
        <v>30</v>
      </c>
      <c r="I45" s="1">
        <v>36</v>
      </c>
      <c r="J45" s="1">
        <v>0</v>
      </c>
      <c r="K45" s="1">
        <v>0</v>
      </c>
      <c r="L45" s="1">
        <v>38</v>
      </c>
      <c r="M45" s="1">
        <v>30</v>
      </c>
      <c r="N45" s="1"/>
      <c r="O45" s="1"/>
      <c r="P45" s="1"/>
      <c r="Q45" s="1"/>
      <c r="R45" s="1"/>
      <c r="S45" s="1"/>
      <c r="T45" s="1"/>
      <c r="U45" s="1"/>
      <c r="V45" s="1"/>
      <c r="W45" s="1"/>
      <c r="X45" s="1"/>
      <c r="Y45" s="1"/>
      <c r="Z45" s="1"/>
      <c r="AA45" s="1"/>
      <c r="AB45" s="1"/>
      <c r="AC45">
        <f t="shared" si="6"/>
        <v>207</v>
      </c>
      <c r="AD45">
        <f t="shared" si="7"/>
        <v>10</v>
      </c>
      <c r="AE45">
        <f t="shared" si="8"/>
        <v>4</v>
      </c>
      <c r="AF45">
        <f t="shared" si="9"/>
        <v>6</v>
      </c>
      <c r="AG45">
        <f t="shared" si="10"/>
        <v>34.5</v>
      </c>
    </row>
    <row r="46" spans="3:33">
      <c r="C46" t="s">
        <v>135</v>
      </c>
      <c r="D46" s="1">
        <v>0</v>
      </c>
      <c r="E46" s="1">
        <v>31</v>
      </c>
      <c r="F46" s="1">
        <v>0</v>
      </c>
      <c r="G46" s="1">
        <v>31</v>
      </c>
      <c r="H46" s="1">
        <v>33</v>
      </c>
      <c r="I46" s="1">
        <v>38</v>
      </c>
      <c r="J46" s="1">
        <v>39</v>
      </c>
      <c r="K46" s="1">
        <v>37</v>
      </c>
      <c r="L46" s="1"/>
      <c r="M46" s="1"/>
      <c r="N46" s="1"/>
      <c r="O46" s="1"/>
      <c r="P46" s="1"/>
      <c r="Q46" s="1"/>
      <c r="R46" s="1"/>
      <c r="S46" s="1"/>
      <c r="T46" s="1"/>
      <c r="U46" s="1"/>
      <c r="V46" s="1"/>
      <c r="W46" s="1"/>
      <c r="X46" s="1"/>
      <c r="Y46" s="1"/>
      <c r="Z46" s="1"/>
      <c r="AA46" s="1"/>
      <c r="AB46" s="1"/>
      <c r="AC46">
        <f t="shared" si="6"/>
        <v>209</v>
      </c>
      <c r="AD46">
        <f t="shared" si="7"/>
        <v>8</v>
      </c>
      <c r="AE46">
        <f t="shared" si="8"/>
        <v>2</v>
      </c>
      <c r="AF46">
        <f t="shared" si="9"/>
        <v>6</v>
      </c>
      <c r="AG46">
        <f t="shared" si="10"/>
        <v>34.833333333333336</v>
      </c>
    </row>
    <row r="47" spans="3:33">
      <c r="C47" t="s">
        <v>136</v>
      </c>
      <c r="D47" s="1">
        <v>37</v>
      </c>
      <c r="E47" s="1">
        <v>0</v>
      </c>
      <c r="F47" s="1">
        <v>42</v>
      </c>
      <c r="G47" s="1">
        <v>32</v>
      </c>
      <c r="H47" s="1">
        <v>0</v>
      </c>
      <c r="I47" s="1">
        <v>0</v>
      </c>
      <c r="J47" s="1">
        <v>38</v>
      </c>
      <c r="K47" s="1">
        <v>65</v>
      </c>
      <c r="L47" s="1"/>
      <c r="M47" s="1"/>
      <c r="N47" s="1"/>
      <c r="O47" s="1"/>
      <c r="P47" s="1"/>
      <c r="Q47" s="1"/>
      <c r="R47" s="1"/>
      <c r="S47" s="1"/>
      <c r="T47" s="1"/>
      <c r="U47" s="1"/>
      <c r="V47" s="1"/>
      <c r="W47" s="1"/>
      <c r="X47" s="1"/>
      <c r="Y47" s="1"/>
      <c r="Z47" s="1"/>
      <c r="AA47" s="1"/>
      <c r="AB47" s="1"/>
      <c r="AC47">
        <f t="shared" si="6"/>
        <v>214</v>
      </c>
      <c r="AD47">
        <f t="shared" si="7"/>
        <v>8</v>
      </c>
      <c r="AE47">
        <f t="shared" si="8"/>
        <v>3</v>
      </c>
      <c r="AF47">
        <f t="shared" si="9"/>
        <v>5</v>
      </c>
      <c r="AG47">
        <f t="shared" si="10"/>
        <v>42.8</v>
      </c>
    </row>
    <row r="48" spans="3:33">
      <c r="C48" t="s">
        <v>137</v>
      </c>
      <c r="D48" s="1">
        <v>0</v>
      </c>
      <c r="E48" s="1">
        <v>31</v>
      </c>
      <c r="F48" s="1">
        <v>41</v>
      </c>
      <c r="G48" s="1">
        <v>0</v>
      </c>
      <c r="H48" s="1">
        <v>33</v>
      </c>
      <c r="I48" s="1">
        <v>35</v>
      </c>
      <c r="J48" s="1">
        <v>34</v>
      </c>
      <c r="K48" s="1">
        <v>31</v>
      </c>
      <c r="L48" s="1"/>
      <c r="M48" s="1"/>
      <c r="N48" s="1"/>
      <c r="O48" s="1"/>
      <c r="P48" s="1"/>
      <c r="Q48" s="1"/>
      <c r="R48" s="1"/>
      <c r="S48" s="1"/>
      <c r="T48" s="1"/>
      <c r="U48" s="1"/>
      <c r="V48" s="1"/>
      <c r="W48" s="1"/>
      <c r="X48" s="1"/>
      <c r="Y48" s="1"/>
      <c r="Z48" s="1"/>
      <c r="AA48" s="1"/>
      <c r="AB48" s="1"/>
      <c r="AC48">
        <f t="shared" ref="AC48:AC79" si="11">SUM(D48:AB48)</f>
        <v>205</v>
      </c>
      <c r="AD48">
        <f t="shared" ref="AD48:AD79" si="12">COUNT(D48:AB48)</f>
        <v>8</v>
      </c>
      <c r="AE48">
        <f t="shared" ref="AE48:AE79" si="13">COUNTIF(D48:AB48,0)</f>
        <v>2</v>
      </c>
      <c r="AF48">
        <f t="shared" si="9"/>
        <v>6</v>
      </c>
      <c r="AG48">
        <f t="shared" si="10"/>
        <v>34.166666666666664</v>
      </c>
    </row>
    <row r="49" spans="3:33">
      <c r="C49" t="s">
        <v>138</v>
      </c>
      <c r="D49" s="1">
        <v>0</v>
      </c>
      <c r="E49" s="1">
        <v>35</v>
      </c>
      <c r="F49" s="1">
        <v>32</v>
      </c>
      <c r="G49" s="1">
        <v>40</v>
      </c>
      <c r="H49" s="1">
        <v>32</v>
      </c>
      <c r="I49" s="1">
        <v>33</v>
      </c>
      <c r="J49" s="1">
        <v>0</v>
      </c>
      <c r="K49" s="1">
        <v>0</v>
      </c>
      <c r="L49" s="1">
        <v>0</v>
      </c>
      <c r="M49" s="1">
        <v>0</v>
      </c>
      <c r="N49" s="1">
        <v>33</v>
      </c>
      <c r="O49" s="1"/>
      <c r="P49" s="1"/>
      <c r="Q49" s="1"/>
      <c r="R49" s="1"/>
      <c r="S49" s="1"/>
      <c r="T49" s="1"/>
      <c r="U49" s="1"/>
      <c r="V49" s="1"/>
      <c r="W49" s="1"/>
      <c r="X49" s="1"/>
      <c r="Y49" s="1"/>
      <c r="Z49" s="1"/>
      <c r="AA49" s="1"/>
      <c r="AB49" s="1"/>
      <c r="AC49">
        <f t="shared" si="11"/>
        <v>205</v>
      </c>
      <c r="AD49">
        <f t="shared" si="12"/>
        <v>11</v>
      </c>
      <c r="AE49">
        <f t="shared" si="13"/>
        <v>5</v>
      </c>
      <c r="AF49">
        <f t="shared" si="9"/>
        <v>6</v>
      </c>
      <c r="AG49">
        <f t="shared" si="10"/>
        <v>34.166666666666664</v>
      </c>
    </row>
    <row r="50" spans="3:33">
      <c r="C50" t="s">
        <v>139</v>
      </c>
      <c r="D50" s="1">
        <v>0</v>
      </c>
      <c r="E50" s="1">
        <v>33</v>
      </c>
      <c r="F50" s="1">
        <v>33</v>
      </c>
      <c r="G50" s="1">
        <v>33</v>
      </c>
      <c r="H50" s="1">
        <v>0</v>
      </c>
      <c r="I50" s="1">
        <v>34</v>
      </c>
      <c r="J50" s="1">
        <v>30</v>
      </c>
      <c r="K50" s="1">
        <v>30</v>
      </c>
      <c r="L50" s="1">
        <v>0</v>
      </c>
      <c r="M50" s="1">
        <v>0</v>
      </c>
      <c r="N50" s="1">
        <v>31</v>
      </c>
      <c r="O50" s="1"/>
      <c r="P50" s="1"/>
      <c r="Q50" s="1"/>
      <c r="R50" s="1"/>
      <c r="S50" s="1"/>
      <c r="T50" s="1"/>
      <c r="U50" s="1"/>
      <c r="V50" s="1"/>
      <c r="W50" s="1"/>
      <c r="X50" s="1"/>
      <c r="Y50" s="1"/>
      <c r="Z50" s="1"/>
      <c r="AA50" s="1"/>
      <c r="AB50" s="1"/>
      <c r="AC50">
        <f t="shared" si="11"/>
        <v>224</v>
      </c>
      <c r="AD50">
        <f t="shared" si="12"/>
        <v>11</v>
      </c>
      <c r="AE50">
        <f t="shared" si="13"/>
        <v>4</v>
      </c>
      <c r="AF50">
        <f t="shared" si="9"/>
        <v>7</v>
      </c>
      <c r="AG50">
        <f t="shared" si="10"/>
        <v>32</v>
      </c>
    </row>
    <row r="51" spans="3:33">
      <c r="C51" t="s">
        <v>140</v>
      </c>
      <c r="D51" s="1">
        <v>31</v>
      </c>
      <c r="E51" s="1">
        <v>38</v>
      </c>
      <c r="F51" s="1">
        <v>0</v>
      </c>
      <c r="G51" s="1">
        <v>0</v>
      </c>
      <c r="H51" s="1">
        <v>32</v>
      </c>
      <c r="I51" s="1">
        <v>31</v>
      </c>
      <c r="J51" s="1">
        <v>0</v>
      </c>
      <c r="K51" s="1">
        <v>35</v>
      </c>
      <c r="L51" s="1">
        <v>0</v>
      </c>
      <c r="M51" s="1">
        <v>0</v>
      </c>
      <c r="N51" s="1">
        <v>34</v>
      </c>
      <c r="O51" s="1"/>
      <c r="P51" s="1"/>
      <c r="Q51" s="1"/>
      <c r="R51" s="1"/>
      <c r="S51" s="1"/>
      <c r="T51" s="1"/>
      <c r="U51" s="1"/>
      <c r="V51" s="1"/>
      <c r="W51" s="1"/>
      <c r="X51" s="1"/>
      <c r="Y51" s="1"/>
      <c r="Z51" s="1"/>
      <c r="AA51" s="1"/>
      <c r="AB51" s="1"/>
      <c r="AC51">
        <f t="shared" si="11"/>
        <v>201</v>
      </c>
      <c r="AD51">
        <f t="shared" si="12"/>
        <v>11</v>
      </c>
      <c r="AE51">
        <f t="shared" si="13"/>
        <v>5</v>
      </c>
      <c r="AF51">
        <f t="shared" si="9"/>
        <v>6</v>
      </c>
      <c r="AG51">
        <f t="shared" si="10"/>
        <v>33.5</v>
      </c>
    </row>
    <row r="52" spans="3:33">
      <c r="C52" t="s">
        <v>141</v>
      </c>
      <c r="D52" s="1">
        <v>37</v>
      </c>
      <c r="E52" s="1">
        <v>41</v>
      </c>
      <c r="F52" s="1">
        <v>36</v>
      </c>
      <c r="G52" s="1">
        <v>36</v>
      </c>
      <c r="H52" s="1">
        <v>30</v>
      </c>
      <c r="I52" s="1">
        <v>33</v>
      </c>
      <c r="J52" s="1"/>
      <c r="K52" s="1"/>
      <c r="L52" s="1"/>
      <c r="M52" s="1"/>
      <c r="N52" s="1"/>
      <c r="O52" s="1"/>
      <c r="P52" s="1"/>
      <c r="Q52" s="1"/>
      <c r="R52" s="1"/>
      <c r="S52" s="1"/>
      <c r="T52" s="1"/>
      <c r="U52" s="1"/>
      <c r="V52" s="1"/>
      <c r="W52" s="1"/>
      <c r="X52" s="1"/>
      <c r="Y52" s="1"/>
      <c r="Z52" s="1"/>
      <c r="AA52" s="1"/>
      <c r="AB52" s="1"/>
      <c r="AC52">
        <f t="shared" si="11"/>
        <v>213</v>
      </c>
      <c r="AD52">
        <f t="shared" si="12"/>
        <v>6</v>
      </c>
      <c r="AE52">
        <f t="shared" si="13"/>
        <v>0</v>
      </c>
      <c r="AF52">
        <f t="shared" si="9"/>
        <v>6</v>
      </c>
      <c r="AG52">
        <f t="shared" si="10"/>
        <v>35.5</v>
      </c>
    </row>
    <row r="53" spans="3:33">
      <c r="C53" t="s">
        <v>142</v>
      </c>
      <c r="D53" s="1">
        <v>30</v>
      </c>
      <c r="E53" s="1">
        <v>0</v>
      </c>
      <c r="F53" s="1">
        <v>0</v>
      </c>
      <c r="G53" s="1">
        <v>0</v>
      </c>
      <c r="H53" s="1">
        <v>32</v>
      </c>
      <c r="I53" s="1">
        <v>38</v>
      </c>
      <c r="J53" s="1">
        <v>33</v>
      </c>
      <c r="K53" s="1">
        <v>37</v>
      </c>
      <c r="L53" s="1">
        <v>0</v>
      </c>
      <c r="M53" s="1">
        <v>33</v>
      </c>
      <c r="N53" s="1"/>
      <c r="O53" s="1"/>
      <c r="P53" s="1"/>
      <c r="Q53" s="1"/>
      <c r="R53" s="1"/>
      <c r="S53" s="1"/>
      <c r="T53" s="1"/>
      <c r="U53" s="1"/>
      <c r="V53" s="1"/>
      <c r="W53" s="1"/>
      <c r="X53" s="1"/>
      <c r="Y53" s="1"/>
      <c r="Z53" s="1"/>
      <c r="AA53" s="1"/>
      <c r="AB53" s="1"/>
      <c r="AC53">
        <f t="shared" si="11"/>
        <v>203</v>
      </c>
      <c r="AD53">
        <f t="shared" si="12"/>
        <v>10</v>
      </c>
      <c r="AE53">
        <f t="shared" si="13"/>
        <v>4</v>
      </c>
      <c r="AF53">
        <f t="shared" si="9"/>
        <v>6</v>
      </c>
      <c r="AG53">
        <f t="shared" si="10"/>
        <v>33.833333333333336</v>
      </c>
    </row>
    <row r="54" spans="3:33">
      <c r="C54" t="s">
        <v>143</v>
      </c>
      <c r="D54" s="1">
        <v>35</v>
      </c>
      <c r="E54" s="1">
        <v>34</v>
      </c>
      <c r="F54" s="1">
        <v>32</v>
      </c>
      <c r="G54" s="1">
        <v>0</v>
      </c>
      <c r="H54" s="1">
        <v>0</v>
      </c>
      <c r="I54" s="1">
        <v>0</v>
      </c>
      <c r="J54" s="1">
        <v>0</v>
      </c>
      <c r="K54" s="1">
        <v>0</v>
      </c>
      <c r="L54" s="1">
        <v>30</v>
      </c>
      <c r="M54" s="1">
        <v>39</v>
      </c>
      <c r="N54" s="1">
        <v>0</v>
      </c>
      <c r="O54" s="1">
        <v>32</v>
      </c>
      <c r="P54" s="1"/>
      <c r="Q54" s="1"/>
      <c r="R54" s="1"/>
      <c r="S54" s="1"/>
      <c r="T54" s="1"/>
      <c r="U54" s="1"/>
      <c r="V54" s="1"/>
      <c r="W54" s="1"/>
      <c r="X54" s="1"/>
      <c r="Y54" s="1"/>
      <c r="Z54" s="1"/>
      <c r="AA54" s="1"/>
      <c r="AB54" s="1"/>
      <c r="AC54">
        <f t="shared" si="11"/>
        <v>202</v>
      </c>
      <c r="AD54">
        <f t="shared" si="12"/>
        <v>12</v>
      </c>
      <c r="AE54">
        <f t="shared" si="13"/>
        <v>6</v>
      </c>
      <c r="AF54">
        <f t="shared" si="9"/>
        <v>6</v>
      </c>
      <c r="AG54">
        <f t="shared" si="10"/>
        <v>33.666666666666664</v>
      </c>
    </row>
    <row r="55" spans="3:33">
      <c r="C55" t="s">
        <v>144</v>
      </c>
      <c r="D55" s="1">
        <v>0</v>
      </c>
      <c r="E55" s="1">
        <v>31</v>
      </c>
      <c r="F55" s="1">
        <v>0</v>
      </c>
      <c r="G55" s="1">
        <v>0</v>
      </c>
      <c r="H55" s="1">
        <v>30</v>
      </c>
      <c r="I55" s="1">
        <v>33</v>
      </c>
      <c r="J55" s="1">
        <v>30</v>
      </c>
      <c r="K55" s="1">
        <v>0</v>
      </c>
      <c r="L55" s="1">
        <v>33</v>
      </c>
      <c r="M55" s="1">
        <v>0</v>
      </c>
      <c r="N55" s="1">
        <v>38</v>
      </c>
      <c r="O55" s="1">
        <v>32</v>
      </c>
      <c r="P55" s="1"/>
      <c r="Q55" s="1"/>
      <c r="R55" s="1"/>
      <c r="S55" s="1"/>
      <c r="T55" s="1"/>
      <c r="U55" s="1"/>
      <c r="V55" s="1"/>
      <c r="W55" s="1"/>
      <c r="X55" s="1"/>
      <c r="Y55" s="1"/>
      <c r="Z55" s="1"/>
      <c r="AA55" s="1"/>
      <c r="AB55" s="1"/>
      <c r="AC55">
        <f t="shared" si="11"/>
        <v>227</v>
      </c>
      <c r="AD55">
        <f t="shared" si="12"/>
        <v>12</v>
      </c>
      <c r="AE55">
        <f t="shared" si="13"/>
        <v>5</v>
      </c>
      <c r="AF55">
        <f t="shared" si="9"/>
        <v>7</v>
      </c>
      <c r="AG55">
        <f t="shared" si="10"/>
        <v>32.428571428571431</v>
      </c>
    </row>
    <row r="56" spans="3:33">
      <c r="C56" t="s">
        <v>145</v>
      </c>
      <c r="D56" s="1">
        <v>0</v>
      </c>
      <c r="E56" s="1">
        <v>0</v>
      </c>
      <c r="F56" s="1">
        <v>0</v>
      </c>
      <c r="G56" s="1">
        <v>30</v>
      </c>
      <c r="H56" s="1">
        <v>0</v>
      </c>
      <c r="I56" s="1">
        <v>35</v>
      </c>
      <c r="J56" s="1">
        <v>0</v>
      </c>
      <c r="K56" s="1">
        <v>37</v>
      </c>
      <c r="L56" s="1">
        <v>0</v>
      </c>
      <c r="M56" s="1">
        <v>0</v>
      </c>
      <c r="N56" s="1">
        <v>34</v>
      </c>
      <c r="O56" s="1">
        <v>38</v>
      </c>
      <c r="P56" s="1">
        <v>31</v>
      </c>
      <c r="Q56" s="1"/>
      <c r="R56" s="1"/>
      <c r="S56" s="1"/>
      <c r="T56" s="1"/>
      <c r="U56" s="1"/>
      <c r="V56" s="1"/>
      <c r="W56" s="1"/>
      <c r="X56" s="1"/>
      <c r="Y56" s="1"/>
      <c r="Z56" s="1"/>
      <c r="AA56" s="1"/>
      <c r="AB56" s="1"/>
      <c r="AC56">
        <f t="shared" si="11"/>
        <v>205</v>
      </c>
      <c r="AD56">
        <f t="shared" si="12"/>
        <v>13</v>
      </c>
      <c r="AE56">
        <f t="shared" si="13"/>
        <v>7</v>
      </c>
      <c r="AF56">
        <f t="shared" si="9"/>
        <v>6</v>
      </c>
      <c r="AG56">
        <f t="shared" si="10"/>
        <v>34.166666666666664</v>
      </c>
    </row>
    <row r="57" spans="3:33">
      <c r="C57" t="s">
        <v>146</v>
      </c>
      <c r="D57" s="1">
        <v>31</v>
      </c>
      <c r="E57" s="1">
        <v>31</v>
      </c>
      <c r="F57" s="1">
        <v>41</v>
      </c>
      <c r="G57" s="1">
        <v>0</v>
      </c>
      <c r="H57" s="1">
        <v>0</v>
      </c>
      <c r="I57" s="1">
        <v>31</v>
      </c>
      <c r="J57" s="1">
        <v>0</v>
      </c>
      <c r="K57" s="1">
        <v>36</v>
      </c>
      <c r="L57" s="1">
        <v>0</v>
      </c>
      <c r="M57" s="1">
        <v>31</v>
      </c>
      <c r="N57" s="1"/>
      <c r="O57" s="1"/>
      <c r="P57" s="1"/>
      <c r="Q57" s="1"/>
      <c r="R57" s="1"/>
      <c r="S57" s="1"/>
      <c r="T57" s="1"/>
      <c r="U57" s="1"/>
      <c r="V57" s="1"/>
      <c r="W57" s="1"/>
      <c r="X57" s="1"/>
      <c r="Y57" s="1"/>
      <c r="Z57" s="1"/>
      <c r="AA57" s="1"/>
      <c r="AB57" s="1"/>
      <c r="AC57">
        <f t="shared" si="11"/>
        <v>201</v>
      </c>
      <c r="AD57">
        <f t="shared" si="12"/>
        <v>10</v>
      </c>
      <c r="AE57">
        <f t="shared" si="13"/>
        <v>4</v>
      </c>
      <c r="AF57">
        <f t="shared" si="9"/>
        <v>6</v>
      </c>
      <c r="AG57">
        <f t="shared" si="10"/>
        <v>33.5</v>
      </c>
    </row>
    <row r="58" spans="3:33">
      <c r="C58" t="s">
        <v>147</v>
      </c>
      <c r="D58" s="1">
        <v>0</v>
      </c>
      <c r="E58" s="1">
        <v>36</v>
      </c>
      <c r="F58" s="1">
        <v>32</v>
      </c>
      <c r="G58" s="1">
        <v>40</v>
      </c>
      <c r="H58" s="1">
        <v>0</v>
      </c>
      <c r="I58" s="1">
        <v>0</v>
      </c>
      <c r="J58" s="1">
        <v>33</v>
      </c>
      <c r="K58" s="1">
        <v>31</v>
      </c>
      <c r="L58" s="1">
        <v>34</v>
      </c>
      <c r="M58" s="1"/>
      <c r="N58" s="1"/>
      <c r="O58" s="1"/>
      <c r="P58" s="1"/>
      <c r="Q58" s="1"/>
      <c r="R58" s="1"/>
      <c r="S58" s="1"/>
      <c r="T58" s="1"/>
      <c r="U58" s="1"/>
      <c r="V58" s="1"/>
      <c r="W58" s="1"/>
      <c r="X58" s="1"/>
      <c r="Y58" s="1"/>
      <c r="Z58" s="1"/>
      <c r="AA58" s="1"/>
      <c r="AB58" s="1"/>
      <c r="AC58">
        <f t="shared" si="11"/>
        <v>206</v>
      </c>
      <c r="AD58">
        <f t="shared" si="12"/>
        <v>9</v>
      </c>
      <c r="AE58">
        <f t="shared" si="13"/>
        <v>3</v>
      </c>
      <c r="AF58">
        <f t="shared" si="9"/>
        <v>6</v>
      </c>
      <c r="AG58">
        <f t="shared" si="10"/>
        <v>34.333333333333336</v>
      </c>
    </row>
    <row r="59" spans="3:33">
      <c r="C59" t="s">
        <v>148</v>
      </c>
      <c r="D59" s="1">
        <v>33</v>
      </c>
      <c r="E59" s="1">
        <v>32</v>
      </c>
      <c r="F59" s="1">
        <v>0</v>
      </c>
      <c r="G59" s="1">
        <v>37</v>
      </c>
      <c r="H59" s="1">
        <v>36</v>
      </c>
      <c r="I59" s="1">
        <v>32</v>
      </c>
      <c r="J59" s="1">
        <v>33</v>
      </c>
      <c r="K59" s="1"/>
      <c r="L59" s="1"/>
      <c r="M59" s="1"/>
      <c r="N59" s="1"/>
      <c r="O59" s="1"/>
      <c r="P59" s="1"/>
      <c r="Q59" s="1"/>
      <c r="R59" s="1"/>
      <c r="S59" s="1"/>
      <c r="T59" s="1"/>
      <c r="U59" s="1"/>
      <c r="V59" s="1"/>
      <c r="W59" s="1"/>
      <c r="X59" s="1"/>
      <c r="Y59" s="1"/>
      <c r="Z59" s="1"/>
      <c r="AA59" s="1"/>
      <c r="AB59" s="1"/>
      <c r="AC59">
        <f t="shared" si="11"/>
        <v>203</v>
      </c>
      <c r="AD59">
        <f t="shared" si="12"/>
        <v>7</v>
      </c>
      <c r="AE59">
        <f t="shared" si="13"/>
        <v>1</v>
      </c>
      <c r="AF59">
        <f t="shared" si="9"/>
        <v>6</v>
      </c>
      <c r="AG59">
        <f t="shared" si="10"/>
        <v>33.833333333333336</v>
      </c>
    </row>
    <row r="60" spans="3:33">
      <c r="C60" t="s">
        <v>149</v>
      </c>
      <c r="D60" s="1">
        <v>39</v>
      </c>
      <c r="E60" s="1">
        <v>0</v>
      </c>
      <c r="F60" s="1">
        <v>0</v>
      </c>
      <c r="G60" s="1">
        <v>0</v>
      </c>
      <c r="H60" s="1">
        <v>0</v>
      </c>
      <c r="I60" s="1">
        <v>0</v>
      </c>
      <c r="J60" s="1">
        <v>30</v>
      </c>
      <c r="K60" s="1">
        <v>0</v>
      </c>
      <c r="L60" s="1">
        <v>0</v>
      </c>
      <c r="M60" s="1">
        <v>0</v>
      </c>
      <c r="N60" s="1">
        <v>0</v>
      </c>
      <c r="O60" s="1">
        <v>34</v>
      </c>
      <c r="P60" s="1">
        <v>36</v>
      </c>
      <c r="Q60" s="1">
        <v>0</v>
      </c>
      <c r="R60" s="1">
        <v>38</v>
      </c>
      <c r="S60" s="1">
        <v>0</v>
      </c>
      <c r="T60" s="1">
        <v>32</v>
      </c>
      <c r="U60" s="1"/>
      <c r="V60" s="1"/>
      <c r="W60" s="1"/>
      <c r="X60" s="1"/>
      <c r="Y60" s="1"/>
      <c r="Z60" s="1"/>
      <c r="AA60" s="1"/>
      <c r="AB60" s="1"/>
      <c r="AC60">
        <f t="shared" si="11"/>
        <v>209</v>
      </c>
      <c r="AD60">
        <f t="shared" si="12"/>
        <v>17</v>
      </c>
      <c r="AE60">
        <f t="shared" si="13"/>
        <v>11</v>
      </c>
      <c r="AF60">
        <f t="shared" si="9"/>
        <v>6</v>
      </c>
      <c r="AG60">
        <f t="shared" si="10"/>
        <v>34.833333333333336</v>
      </c>
    </row>
    <row r="61" spans="3:33">
      <c r="C61" t="s">
        <v>150</v>
      </c>
      <c r="D61" s="1">
        <v>30</v>
      </c>
      <c r="E61" s="1">
        <v>32</v>
      </c>
      <c r="F61" s="1">
        <v>33</v>
      </c>
      <c r="G61" s="1">
        <v>0</v>
      </c>
      <c r="H61" s="1">
        <v>31</v>
      </c>
      <c r="I61" s="1">
        <v>34</v>
      </c>
      <c r="J61" s="1">
        <v>36</v>
      </c>
      <c r="K61" s="1">
        <v>30</v>
      </c>
      <c r="L61" s="1"/>
      <c r="M61" s="1"/>
      <c r="N61" s="1"/>
      <c r="O61" s="1"/>
      <c r="P61" s="1"/>
      <c r="Q61" s="1"/>
      <c r="R61" s="1"/>
      <c r="S61" s="1"/>
      <c r="T61" s="1"/>
      <c r="U61" s="1"/>
      <c r="V61" s="1"/>
      <c r="W61" s="1"/>
      <c r="X61" s="1"/>
      <c r="Y61" s="1"/>
      <c r="Z61" s="1"/>
      <c r="AA61" s="1"/>
      <c r="AB61" s="1"/>
      <c r="AC61">
        <f t="shared" si="11"/>
        <v>226</v>
      </c>
      <c r="AD61">
        <f t="shared" si="12"/>
        <v>8</v>
      </c>
      <c r="AE61">
        <f t="shared" si="13"/>
        <v>1</v>
      </c>
      <c r="AF61">
        <f t="shared" si="9"/>
        <v>7</v>
      </c>
      <c r="AG61">
        <f t="shared" si="10"/>
        <v>32.285714285714285</v>
      </c>
    </row>
    <row r="62" spans="3:33">
      <c r="C62" t="s">
        <v>151</v>
      </c>
      <c r="D62" s="1">
        <v>32</v>
      </c>
      <c r="E62" s="1">
        <v>34</v>
      </c>
      <c r="F62" s="1">
        <v>0</v>
      </c>
      <c r="G62" s="1">
        <v>30</v>
      </c>
      <c r="H62" s="1">
        <v>0</v>
      </c>
      <c r="I62" s="1">
        <v>0</v>
      </c>
      <c r="J62" s="1">
        <v>33</v>
      </c>
      <c r="K62" s="1">
        <v>0</v>
      </c>
      <c r="L62" s="1">
        <v>30</v>
      </c>
      <c r="M62" s="1">
        <v>30</v>
      </c>
      <c r="N62" s="1">
        <v>38</v>
      </c>
      <c r="O62" s="1"/>
      <c r="P62" s="1"/>
      <c r="Q62" s="1"/>
      <c r="R62" s="1"/>
      <c r="S62" s="1"/>
      <c r="T62" s="1"/>
      <c r="U62" s="1"/>
      <c r="V62" s="1"/>
      <c r="W62" s="1"/>
      <c r="X62" s="1"/>
      <c r="Y62" s="1"/>
      <c r="Z62" s="1"/>
      <c r="AA62" s="1"/>
      <c r="AB62" s="1"/>
      <c r="AC62">
        <f t="shared" si="11"/>
        <v>227</v>
      </c>
      <c r="AD62">
        <f t="shared" si="12"/>
        <v>11</v>
      </c>
      <c r="AE62">
        <f t="shared" si="13"/>
        <v>4</v>
      </c>
      <c r="AF62">
        <f t="shared" si="9"/>
        <v>7</v>
      </c>
      <c r="AG62">
        <f t="shared" si="10"/>
        <v>32.428571428571431</v>
      </c>
    </row>
    <row r="63" spans="3:33">
      <c r="C63" t="s">
        <v>152</v>
      </c>
      <c r="D63" s="1">
        <v>37</v>
      </c>
      <c r="E63" s="1">
        <v>30</v>
      </c>
      <c r="F63" s="1">
        <v>0</v>
      </c>
      <c r="G63" s="1">
        <v>0</v>
      </c>
      <c r="H63" s="1">
        <v>34</v>
      </c>
      <c r="I63" s="1">
        <v>39</v>
      </c>
      <c r="J63" s="1">
        <v>0</v>
      </c>
      <c r="K63" s="1">
        <v>0</v>
      </c>
      <c r="L63" s="1">
        <v>36</v>
      </c>
      <c r="M63" s="1">
        <v>0</v>
      </c>
      <c r="N63" s="1">
        <v>0</v>
      </c>
      <c r="O63" s="1">
        <v>31</v>
      </c>
      <c r="P63" s="1"/>
      <c r="Q63" s="1"/>
      <c r="R63" s="1"/>
      <c r="S63" s="1"/>
      <c r="T63" s="1"/>
      <c r="U63" s="1"/>
      <c r="V63" s="1"/>
      <c r="W63" s="1"/>
      <c r="X63" s="1"/>
      <c r="Y63" s="1"/>
      <c r="Z63" s="1"/>
      <c r="AA63" s="1"/>
      <c r="AB63" s="1"/>
      <c r="AC63">
        <f t="shared" si="11"/>
        <v>207</v>
      </c>
      <c r="AD63">
        <f t="shared" si="12"/>
        <v>12</v>
      </c>
      <c r="AE63">
        <f t="shared" si="13"/>
        <v>6</v>
      </c>
      <c r="AF63">
        <f t="shared" si="9"/>
        <v>6</v>
      </c>
      <c r="AG63">
        <f t="shared" si="10"/>
        <v>34.5</v>
      </c>
    </row>
    <row r="64" spans="3:33">
      <c r="C64" t="s">
        <v>153</v>
      </c>
      <c r="D64" s="1">
        <v>35</v>
      </c>
      <c r="E64" s="1">
        <v>31</v>
      </c>
      <c r="F64" s="1">
        <v>36</v>
      </c>
      <c r="G64" s="1">
        <v>0</v>
      </c>
      <c r="H64" s="1">
        <v>33</v>
      </c>
      <c r="I64" s="1">
        <v>34</v>
      </c>
      <c r="J64" s="1">
        <v>35</v>
      </c>
      <c r="K64" s="1"/>
      <c r="L64" s="1"/>
      <c r="M64" s="1"/>
      <c r="N64" s="1"/>
      <c r="O64" s="1"/>
      <c r="P64" s="1"/>
      <c r="Q64" s="1"/>
      <c r="R64" s="1"/>
      <c r="S64" s="1"/>
      <c r="T64" s="1"/>
      <c r="U64" s="1"/>
      <c r="V64" s="1"/>
      <c r="W64" s="1"/>
      <c r="X64" s="1"/>
      <c r="Y64" s="1"/>
      <c r="Z64" s="1"/>
      <c r="AA64" s="1"/>
      <c r="AB64" s="1"/>
      <c r="AC64">
        <f t="shared" si="11"/>
        <v>204</v>
      </c>
      <c r="AD64">
        <f t="shared" si="12"/>
        <v>7</v>
      </c>
      <c r="AE64">
        <f t="shared" si="13"/>
        <v>1</v>
      </c>
      <c r="AF64">
        <f t="shared" si="9"/>
        <v>6</v>
      </c>
      <c r="AG64">
        <f t="shared" si="10"/>
        <v>34</v>
      </c>
    </row>
    <row r="65" spans="3:33">
      <c r="C65" t="s">
        <v>154</v>
      </c>
      <c r="D65" s="1">
        <v>36</v>
      </c>
      <c r="E65" s="1">
        <v>30</v>
      </c>
      <c r="F65" s="1">
        <v>0</v>
      </c>
      <c r="G65" s="1">
        <v>0</v>
      </c>
      <c r="H65" s="1">
        <v>37</v>
      </c>
      <c r="I65" s="1">
        <v>30</v>
      </c>
      <c r="J65" s="1">
        <v>32</v>
      </c>
      <c r="K65" s="1">
        <v>0</v>
      </c>
      <c r="L65" s="1">
        <v>0</v>
      </c>
      <c r="M65" s="1">
        <v>0</v>
      </c>
      <c r="N65" s="1">
        <v>38</v>
      </c>
      <c r="O65" s="1"/>
      <c r="P65" s="1"/>
      <c r="Q65" s="1"/>
      <c r="R65" s="1"/>
      <c r="S65" s="1"/>
      <c r="T65" s="1"/>
      <c r="U65" s="1"/>
      <c r="V65" s="1"/>
      <c r="W65" s="1"/>
      <c r="X65" s="1"/>
      <c r="Y65" s="1"/>
      <c r="Z65" s="1"/>
      <c r="AA65" s="1"/>
      <c r="AB65" s="1"/>
      <c r="AC65">
        <f t="shared" si="11"/>
        <v>203</v>
      </c>
      <c r="AD65">
        <f t="shared" si="12"/>
        <v>11</v>
      </c>
      <c r="AE65">
        <f t="shared" si="13"/>
        <v>5</v>
      </c>
      <c r="AF65">
        <f t="shared" si="9"/>
        <v>6</v>
      </c>
      <c r="AG65">
        <f t="shared" si="10"/>
        <v>33.833333333333336</v>
      </c>
    </row>
    <row r="66" spans="3:33">
      <c r="C66" t="s">
        <v>155</v>
      </c>
      <c r="D66" s="1">
        <v>33</v>
      </c>
      <c r="E66" s="1">
        <v>30</v>
      </c>
      <c r="F66" s="1">
        <v>37</v>
      </c>
      <c r="G66" s="1">
        <v>31</v>
      </c>
      <c r="H66" s="1">
        <v>0</v>
      </c>
      <c r="I66" s="1">
        <v>32</v>
      </c>
      <c r="J66" s="1">
        <v>0</v>
      </c>
      <c r="K66" s="1">
        <v>0</v>
      </c>
      <c r="L66" s="1">
        <v>34</v>
      </c>
      <c r="M66" s="1">
        <v>39</v>
      </c>
      <c r="N66" s="1"/>
      <c r="O66" s="1"/>
      <c r="P66" s="1"/>
      <c r="Q66" s="1"/>
      <c r="R66" s="1"/>
      <c r="S66" s="1"/>
      <c r="T66" s="1"/>
      <c r="U66" s="1"/>
      <c r="V66" s="1"/>
      <c r="W66" s="1"/>
      <c r="X66" s="1"/>
      <c r="Y66" s="1"/>
      <c r="Z66" s="1"/>
      <c r="AA66" s="1"/>
      <c r="AB66" s="1"/>
      <c r="AC66">
        <f t="shared" si="11"/>
        <v>236</v>
      </c>
      <c r="AD66">
        <f t="shared" si="12"/>
        <v>10</v>
      </c>
      <c r="AE66">
        <f t="shared" si="13"/>
        <v>3</v>
      </c>
      <c r="AF66">
        <f t="shared" si="9"/>
        <v>7</v>
      </c>
      <c r="AG66">
        <f t="shared" si="10"/>
        <v>33.714285714285715</v>
      </c>
    </row>
    <row r="67" spans="3:33">
      <c r="C67" t="s">
        <v>156</v>
      </c>
      <c r="D67" s="1">
        <v>30</v>
      </c>
      <c r="E67" s="1">
        <v>34</v>
      </c>
      <c r="F67" s="1">
        <v>33</v>
      </c>
      <c r="G67" s="1">
        <v>33</v>
      </c>
      <c r="H67" s="1">
        <v>31</v>
      </c>
      <c r="I67" s="1">
        <v>33</v>
      </c>
      <c r="J67" s="1">
        <v>0</v>
      </c>
      <c r="K67" s="1">
        <v>0</v>
      </c>
      <c r="L67" s="1">
        <v>38</v>
      </c>
      <c r="M67" s="1"/>
      <c r="N67" s="1"/>
      <c r="O67" s="1"/>
      <c r="P67" s="1"/>
      <c r="Q67" s="1"/>
      <c r="R67" s="1"/>
      <c r="S67" s="1"/>
      <c r="T67" s="1"/>
      <c r="U67" s="1"/>
      <c r="V67" s="1"/>
      <c r="W67" s="1"/>
      <c r="X67" s="1"/>
      <c r="Y67" s="1"/>
      <c r="Z67" s="1"/>
      <c r="AA67" s="1"/>
      <c r="AB67" s="1"/>
      <c r="AC67">
        <f t="shared" si="11"/>
        <v>232</v>
      </c>
      <c r="AD67">
        <f t="shared" si="12"/>
        <v>9</v>
      </c>
      <c r="AE67">
        <f t="shared" si="13"/>
        <v>2</v>
      </c>
      <c r="AF67">
        <f t="shared" si="9"/>
        <v>7</v>
      </c>
      <c r="AG67">
        <f t="shared" si="10"/>
        <v>33.142857142857146</v>
      </c>
    </row>
    <row r="68" spans="3:33">
      <c r="C68" t="s">
        <v>157</v>
      </c>
      <c r="D68" s="1">
        <v>31</v>
      </c>
      <c r="E68" s="1">
        <v>0</v>
      </c>
      <c r="F68" s="1">
        <v>40</v>
      </c>
      <c r="G68" s="1">
        <v>33</v>
      </c>
      <c r="H68" s="1">
        <v>38</v>
      </c>
      <c r="I68" s="1">
        <v>37</v>
      </c>
      <c r="J68" s="1">
        <v>30</v>
      </c>
      <c r="K68" s="1"/>
      <c r="L68" s="1"/>
      <c r="M68" s="1"/>
      <c r="N68" s="1"/>
      <c r="O68" s="1"/>
      <c r="P68" s="1"/>
      <c r="Q68" s="1"/>
      <c r="R68" s="1"/>
      <c r="S68" s="1"/>
      <c r="T68" s="1"/>
      <c r="U68" s="1"/>
      <c r="V68" s="1"/>
      <c r="W68" s="1"/>
      <c r="X68" s="1"/>
      <c r="Y68" s="1"/>
      <c r="Z68" s="1"/>
      <c r="AA68" s="1"/>
      <c r="AB68" s="1"/>
      <c r="AC68">
        <f t="shared" si="11"/>
        <v>209</v>
      </c>
      <c r="AD68">
        <f t="shared" si="12"/>
        <v>7</v>
      </c>
      <c r="AE68">
        <f t="shared" si="13"/>
        <v>1</v>
      </c>
      <c r="AF68">
        <f t="shared" si="9"/>
        <v>6</v>
      </c>
      <c r="AG68">
        <f t="shared" si="10"/>
        <v>34.833333333333336</v>
      </c>
    </row>
    <row r="69" spans="3:33">
      <c r="C69" t="s">
        <v>158</v>
      </c>
      <c r="D69" s="1">
        <v>0</v>
      </c>
      <c r="E69" s="1">
        <v>30</v>
      </c>
      <c r="F69" s="1">
        <v>0</v>
      </c>
      <c r="G69" s="1">
        <v>0</v>
      </c>
      <c r="H69" s="1">
        <v>35</v>
      </c>
      <c r="I69" s="1">
        <v>0</v>
      </c>
      <c r="J69" s="1">
        <v>0</v>
      </c>
      <c r="K69" s="1">
        <v>0</v>
      </c>
      <c r="L69" s="1">
        <v>0</v>
      </c>
      <c r="M69" s="1">
        <v>42</v>
      </c>
      <c r="N69" s="1">
        <v>62</v>
      </c>
      <c r="O69" s="1">
        <v>34</v>
      </c>
      <c r="P69" s="1"/>
      <c r="Q69" s="1"/>
      <c r="R69" s="1"/>
      <c r="S69" s="1"/>
      <c r="T69" s="1"/>
      <c r="U69" s="1"/>
      <c r="V69" s="1"/>
      <c r="W69" s="1"/>
      <c r="X69" s="1"/>
      <c r="Y69" s="1"/>
      <c r="Z69" s="1"/>
      <c r="AA69" s="1"/>
      <c r="AB69" s="1"/>
      <c r="AC69">
        <f t="shared" si="11"/>
        <v>203</v>
      </c>
      <c r="AD69">
        <f t="shared" si="12"/>
        <v>12</v>
      </c>
      <c r="AE69">
        <f t="shared" si="13"/>
        <v>7</v>
      </c>
      <c r="AF69">
        <f t="shared" si="9"/>
        <v>5</v>
      </c>
      <c r="AG69">
        <f t="shared" si="10"/>
        <v>40.6</v>
      </c>
    </row>
    <row r="70" spans="3:33">
      <c r="C70" t="s">
        <v>159</v>
      </c>
      <c r="D70" s="1">
        <v>0</v>
      </c>
      <c r="E70" s="1">
        <v>36</v>
      </c>
      <c r="F70" s="1">
        <v>0</v>
      </c>
      <c r="G70" s="1">
        <v>41</v>
      </c>
      <c r="H70" s="1">
        <v>0</v>
      </c>
      <c r="I70" s="1">
        <v>0</v>
      </c>
      <c r="J70" s="1">
        <v>33</v>
      </c>
      <c r="K70" s="1">
        <v>31</v>
      </c>
      <c r="L70" s="1">
        <v>38</v>
      </c>
      <c r="M70" s="1">
        <v>34</v>
      </c>
      <c r="N70" s="1"/>
      <c r="O70" s="1"/>
      <c r="P70" s="1"/>
      <c r="Q70" s="1"/>
      <c r="R70" s="1"/>
      <c r="S70" s="1"/>
      <c r="T70" s="1"/>
      <c r="U70" s="1"/>
      <c r="V70" s="1"/>
      <c r="W70" s="1"/>
      <c r="X70" s="1"/>
      <c r="Y70" s="1"/>
      <c r="Z70" s="1"/>
      <c r="AA70" s="1"/>
      <c r="AB70" s="1"/>
      <c r="AC70">
        <f t="shared" si="11"/>
        <v>213</v>
      </c>
      <c r="AD70">
        <f t="shared" si="12"/>
        <v>10</v>
      </c>
      <c r="AE70">
        <f t="shared" si="13"/>
        <v>4</v>
      </c>
      <c r="AF70">
        <f t="shared" si="9"/>
        <v>6</v>
      </c>
      <c r="AG70">
        <f t="shared" si="10"/>
        <v>35.5</v>
      </c>
    </row>
    <row r="71" spans="3:33">
      <c r="C71" t="s">
        <v>160</v>
      </c>
      <c r="D71" s="1">
        <v>0</v>
      </c>
      <c r="E71" s="1">
        <v>30</v>
      </c>
      <c r="F71" s="1">
        <v>32</v>
      </c>
      <c r="G71" s="1">
        <v>33</v>
      </c>
      <c r="H71" s="1">
        <v>30</v>
      </c>
      <c r="I71" s="1">
        <v>0</v>
      </c>
      <c r="J71" s="1">
        <v>33</v>
      </c>
      <c r="K71" s="1">
        <v>0</v>
      </c>
      <c r="L71" s="1">
        <v>0</v>
      </c>
      <c r="M71" s="1">
        <v>38</v>
      </c>
      <c r="N71" s="1">
        <v>35</v>
      </c>
      <c r="O71" s="1"/>
      <c r="P71" s="1"/>
      <c r="Q71" s="1"/>
      <c r="R71" s="1"/>
      <c r="S71" s="1"/>
      <c r="T71" s="1"/>
      <c r="U71" s="1"/>
      <c r="V71" s="1"/>
      <c r="W71" s="1"/>
      <c r="X71" s="1"/>
      <c r="Y71" s="1"/>
      <c r="Z71" s="1"/>
      <c r="AA71" s="1"/>
      <c r="AB71" s="1"/>
      <c r="AC71">
        <f t="shared" si="11"/>
        <v>231</v>
      </c>
      <c r="AD71">
        <f t="shared" si="12"/>
        <v>11</v>
      </c>
      <c r="AE71">
        <f t="shared" si="13"/>
        <v>4</v>
      </c>
      <c r="AF71">
        <f t="shared" si="9"/>
        <v>7</v>
      </c>
      <c r="AG71">
        <f t="shared" si="10"/>
        <v>33</v>
      </c>
    </row>
    <row r="72" spans="3:33">
      <c r="C72" t="s">
        <v>161</v>
      </c>
      <c r="D72" s="1">
        <v>36</v>
      </c>
      <c r="E72" s="1">
        <v>49</v>
      </c>
      <c r="F72" s="1">
        <v>38</v>
      </c>
      <c r="G72" s="1">
        <v>0</v>
      </c>
      <c r="H72" s="1">
        <v>0</v>
      </c>
      <c r="I72" s="1">
        <v>34</v>
      </c>
      <c r="J72" s="1">
        <v>36</v>
      </c>
      <c r="K72" s="1">
        <v>0</v>
      </c>
      <c r="L72" s="1">
        <v>41</v>
      </c>
      <c r="M72" s="1"/>
      <c r="N72" s="1"/>
      <c r="O72" s="1"/>
      <c r="P72" s="1"/>
      <c r="Q72" s="1"/>
      <c r="R72" s="1"/>
      <c r="S72" s="1"/>
      <c r="T72" s="1"/>
      <c r="U72" s="1"/>
      <c r="V72" s="1"/>
      <c r="W72" s="1"/>
      <c r="X72" s="1"/>
      <c r="Y72" s="1"/>
      <c r="Z72" s="1"/>
      <c r="AA72" s="1"/>
      <c r="AB72" s="1"/>
      <c r="AC72">
        <f t="shared" si="11"/>
        <v>234</v>
      </c>
      <c r="AD72">
        <f t="shared" si="12"/>
        <v>9</v>
      </c>
      <c r="AE72">
        <f t="shared" si="13"/>
        <v>3</v>
      </c>
      <c r="AF72">
        <f t="shared" si="9"/>
        <v>6</v>
      </c>
      <c r="AG72">
        <f t="shared" si="10"/>
        <v>39</v>
      </c>
    </row>
    <row r="73" spans="3:33">
      <c r="C73" t="s">
        <v>162</v>
      </c>
      <c r="D73" s="1">
        <v>32</v>
      </c>
      <c r="E73" s="1">
        <v>30</v>
      </c>
      <c r="F73" s="1">
        <v>39</v>
      </c>
      <c r="G73" s="1">
        <v>0</v>
      </c>
      <c r="H73" s="1">
        <v>33</v>
      </c>
      <c r="I73" s="1">
        <v>0</v>
      </c>
      <c r="J73" s="1">
        <v>0</v>
      </c>
      <c r="K73" s="1">
        <v>0</v>
      </c>
      <c r="L73" s="1">
        <v>0</v>
      </c>
      <c r="M73" s="1">
        <v>0</v>
      </c>
      <c r="N73" s="1">
        <v>0</v>
      </c>
      <c r="O73" s="1">
        <v>0</v>
      </c>
      <c r="P73" s="1">
        <v>0</v>
      </c>
      <c r="Q73" s="1">
        <v>34</v>
      </c>
      <c r="R73" s="1">
        <v>33</v>
      </c>
      <c r="S73" s="1"/>
      <c r="T73" s="1"/>
      <c r="U73" s="1"/>
      <c r="V73" s="1"/>
      <c r="W73" s="1"/>
      <c r="X73" s="1"/>
      <c r="Y73" s="1"/>
      <c r="Z73" s="1"/>
      <c r="AA73" s="1"/>
      <c r="AB73" s="1"/>
      <c r="AC73">
        <f t="shared" si="11"/>
        <v>201</v>
      </c>
      <c r="AD73">
        <f t="shared" si="12"/>
        <v>15</v>
      </c>
      <c r="AE73">
        <f t="shared" si="13"/>
        <v>9</v>
      </c>
      <c r="AF73">
        <f t="shared" si="9"/>
        <v>6</v>
      </c>
      <c r="AG73">
        <f t="shared" si="10"/>
        <v>33.5</v>
      </c>
    </row>
    <row r="74" spans="3:33">
      <c r="C74" t="s">
        <v>163</v>
      </c>
      <c r="D74" s="1">
        <v>32</v>
      </c>
      <c r="E74" s="1">
        <v>31</v>
      </c>
      <c r="F74" s="1">
        <v>32</v>
      </c>
      <c r="G74" s="1">
        <v>34</v>
      </c>
      <c r="H74" s="1">
        <v>33</v>
      </c>
      <c r="I74" s="1">
        <v>0</v>
      </c>
      <c r="J74" s="1">
        <v>0</v>
      </c>
      <c r="K74" s="1">
        <v>30</v>
      </c>
      <c r="L74" s="1">
        <v>40</v>
      </c>
      <c r="M74" s="1"/>
      <c r="N74" s="1"/>
      <c r="O74" s="1"/>
      <c r="P74" s="1"/>
      <c r="Q74" s="1"/>
      <c r="R74" s="1"/>
      <c r="S74" s="1"/>
      <c r="T74" s="1"/>
      <c r="U74" s="1"/>
      <c r="V74" s="1"/>
      <c r="W74" s="1"/>
      <c r="X74" s="1"/>
      <c r="Y74" s="1"/>
      <c r="Z74" s="1"/>
      <c r="AA74" s="1"/>
      <c r="AB74" s="1"/>
      <c r="AC74">
        <f t="shared" si="11"/>
        <v>232</v>
      </c>
      <c r="AD74">
        <f t="shared" si="12"/>
        <v>9</v>
      </c>
      <c r="AE74">
        <f t="shared" si="13"/>
        <v>2</v>
      </c>
      <c r="AF74">
        <f t="shared" si="9"/>
        <v>7</v>
      </c>
      <c r="AG74">
        <f t="shared" si="10"/>
        <v>33.142857142857146</v>
      </c>
    </row>
    <row r="75" spans="3:33">
      <c r="C75" t="s">
        <v>164</v>
      </c>
      <c r="D75" s="1">
        <v>0</v>
      </c>
      <c r="E75" s="1">
        <v>33</v>
      </c>
      <c r="F75" s="1">
        <v>34</v>
      </c>
      <c r="G75" s="1">
        <v>36</v>
      </c>
      <c r="H75" s="1">
        <v>31</v>
      </c>
      <c r="I75" s="1">
        <v>61</v>
      </c>
      <c r="J75" s="1">
        <v>0</v>
      </c>
      <c r="K75" s="1">
        <v>0</v>
      </c>
      <c r="L75" s="1">
        <v>31</v>
      </c>
      <c r="M75" s="1"/>
      <c r="N75" s="1"/>
      <c r="O75" s="1"/>
      <c r="P75" s="1"/>
      <c r="Q75" s="1"/>
      <c r="R75" s="1"/>
      <c r="S75" s="1"/>
      <c r="T75" s="1"/>
      <c r="U75" s="1"/>
      <c r="V75" s="1"/>
      <c r="W75" s="1"/>
      <c r="X75" s="1"/>
      <c r="Y75" s="1"/>
      <c r="Z75" s="1"/>
      <c r="AA75" s="1"/>
      <c r="AB75" s="1"/>
      <c r="AC75">
        <f t="shared" si="11"/>
        <v>226</v>
      </c>
      <c r="AD75">
        <f t="shared" si="12"/>
        <v>9</v>
      </c>
      <c r="AE75">
        <f t="shared" si="13"/>
        <v>3</v>
      </c>
      <c r="AF75">
        <f t="shared" si="9"/>
        <v>6</v>
      </c>
      <c r="AG75">
        <f t="shared" si="10"/>
        <v>37.666666666666664</v>
      </c>
    </row>
    <row r="76" spans="3:33">
      <c r="C76" t="s">
        <v>165</v>
      </c>
      <c r="D76" s="1">
        <v>37</v>
      </c>
      <c r="E76" s="1">
        <v>0</v>
      </c>
      <c r="F76" s="1">
        <v>36</v>
      </c>
      <c r="G76" s="1">
        <v>34</v>
      </c>
      <c r="H76" s="1">
        <v>0</v>
      </c>
      <c r="I76" s="1">
        <v>41</v>
      </c>
      <c r="J76" s="1">
        <v>32</v>
      </c>
      <c r="K76" s="1">
        <v>32</v>
      </c>
      <c r="L76" s="1"/>
      <c r="M76" s="1"/>
      <c r="N76" s="1"/>
      <c r="O76" s="1"/>
      <c r="P76" s="1"/>
      <c r="Q76" s="1"/>
      <c r="R76" s="1"/>
      <c r="S76" s="1"/>
      <c r="T76" s="1"/>
      <c r="U76" s="1"/>
      <c r="V76" s="1"/>
      <c r="W76" s="1"/>
      <c r="X76" s="1"/>
      <c r="Y76" s="1"/>
      <c r="Z76" s="1"/>
      <c r="AA76" s="1"/>
      <c r="AB76" s="1"/>
      <c r="AC76">
        <f t="shared" si="11"/>
        <v>212</v>
      </c>
      <c r="AD76">
        <f t="shared" si="12"/>
        <v>8</v>
      </c>
      <c r="AE76">
        <f t="shared" si="13"/>
        <v>2</v>
      </c>
      <c r="AF76">
        <f t="shared" si="9"/>
        <v>6</v>
      </c>
      <c r="AG76">
        <f t="shared" si="10"/>
        <v>35.333333333333336</v>
      </c>
    </row>
    <row r="77" spans="3:33">
      <c r="C77" t="s">
        <v>166</v>
      </c>
      <c r="D77" s="1">
        <v>35</v>
      </c>
      <c r="E77" s="1">
        <v>32</v>
      </c>
      <c r="F77" s="1">
        <v>0</v>
      </c>
      <c r="G77" s="1">
        <v>32</v>
      </c>
      <c r="H77" s="1">
        <v>0</v>
      </c>
      <c r="I77" s="1">
        <v>33</v>
      </c>
      <c r="J77" s="1">
        <v>0</v>
      </c>
      <c r="K77" s="1">
        <v>0</v>
      </c>
      <c r="L77" s="1">
        <v>0</v>
      </c>
      <c r="M77" s="1">
        <v>37</v>
      </c>
      <c r="N77" s="1">
        <v>35</v>
      </c>
      <c r="O77" s="1"/>
      <c r="P77" s="1"/>
      <c r="Q77" s="1"/>
      <c r="R77" s="1"/>
      <c r="S77" s="1"/>
      <c r="T77" s="1"/>
      <c r="U77" s="1"/>
      <c r="V77" s="1"/>
      <c r="W77" s="1"/>
      <c r="X77" s="1"/>
      <c r="Y77" s="1"/>
      <c r="Z77" s="1"/>
      <c r="AA77" s="1"/>
      <c r="AB77" s="1"/>
      <c r="AC77">
        <f t="shared" si="11"/>
        <v>204</v>
      </c>
      <c r="AD77">
        <f t="shared" si="12"/>
        <v>11</v>
      </c>
      <c r="AE77">
        <f t="shared" si="13"/>
        <v>5</v>
      </c>
      <c r="AF77">
        <f t="shared" si="9"/>
        <v>6</v>
      </c>
      <c r="AG77">
        <f t="shared" si="10"/>
        <v>34</v>
      </c>
    </row>
    <row r="78" spans="3:33">
      <c r="C78" t="s">
        <v>167</v>
      </c>
      <c r="D78" s="1">
        <v>31</v>
      </c>
      <c r="E78" s="1">
        <v>0</v>
      </c>
      <c r="F78" s="1">
        <v>32</v>
      </c>
      <c r="G78" s="1">
        <v>0</v>
      </c>
      <c r="H78" s="1">
        <v>33</v>
      </c>
      <c r="I78" s="1">
        <v>37</v>
      </c>
      <c r="J78" s="1">
        <v>32</v>
      </c>
      <c r="K78" s="1">
        <v>31</v>
      </c>
      <c r="L78" s="1">
        <v>0</v>
      </c>
      <c r="M78" s="1">
        <v>0</v>
      </c>
      <c r="N78" s="1">
        <v>30</v>
      </c>
      <c r="O78" s="1"/>
      <c r="P78" s="1"/>
      <c r="Q78" s="1"/>
      <c r="R78" s="1"/>
      <c r="S78" s="1"/>
      <c r="T78" s="1"/>
      <c r="U78" s="1"/>
      <c r="V78" s="1"/>
      <c r="W78" s="1"/>
      <c r="X78" s="1"/>
      <c r="Y78" s="1"/>
      <c r="Z78" s="1"/>
      <c r="AA78" s="1"/>
      <c r="AB78" s="1"/>
      <c r="AC78">
        <f t="shared" si="11"/>
        <v>226</v>
      </c>
      <c r="AD78">
        <f t="shared" si="12"/>
        <v>11</v>
      </c>
      <c r="AE78">
        <f t="shared" si="13"/>
        <v>4</v>
      </c>
      <c r="AF78">
        <f t="shared" si="9"/>
        <v>7</v>
      </c>
      <c r="AG78">
        <f t="shared" si="10"/>
        <v>32.285714285714285</v>
      </c>
    </row>
    <row r="79" spans="3:33">
      <c r="C79" t="s">
        <v>168</v>
      </c>
      <c r="D79" s="1">
        <v>42</v>
      </c>
      <c r="E79" s="1">
        <v>31</v>
      </c>
      <c r="F79" s="1">
        <v>0</v>
      </c>
      <c r="G79" s="1">
        <v>39</v>
      </c>
      <c r="H79" s="1">
        <v>39</v>
      </c>
      <c r="I79" s="1">
        <v>30</v>
      </c>
      <c r="J79" s="1">
        <v>31</v>
      </c>
      <c r="K79" s="1"/>
      <c r="L79" s="1"/>
      <c r="M79" s="1"/>
      <c r="N79" s="1"/>
      <c r="O79" s="1"/>
      <c r="P79" s="1"/>
      <c r="Q79" s="1"/>
      <c r="R79" s="1"/>
      <c r="S79" s="1"/>
      <c r="T79" s="1"/>
      <c r="U79" s="1"/>
      <c r="V79" s="1"/>
      <c r="W79" s="1"/>
      <c r="X79" s="1"/>
      <c r="Y79" s="1"/>
      <c r="Z79" s="1"/>
      <c r="AA79" s="1"/>
      <c r="AB79" s="1"/>
      <c r="AC79">
        <f t="shared" si="11"/>
        <v>212</v>
      </c>
      <c r="AD79">
        <f t="shared" si="12"/>
        <v>7</v>
      </c>
      <c r="AE79">
        <f t="shared" si="13"/>
        <v>1</v>
      </c>
      <c r="AF79">
        <f t="shared" si="9"/>
        <v>6</v>
      </c>
      <c r="AG79">
        <f t="shared" si="10"/>
        <v>35.333333333333336</v>
      </c>
    </row>
    <row r="80" spans="3:33">
      <c r="C80" t="s">
        <v>169</v>
      </c>
      <c r="D80" s="1">
        <v>0</v>
      </c>
      <c r="E80" s="1">
        <v>33</v>
      </c>
      <c r="F80" s="1">
        <v>0</v>
      </c>
      <c r="G80" s="1">
        <v>31</v>
      </c>
      <c r="H80" s="1">
        <v>0</v>
      </c>
      <c r="I80" s="1">
        <v>0</v>
      </c>
      <c r="J80" s="1">
        <v>32</v>
      </c>
      <c r="K80" s="1">
        <v>0</v>
      </c>
      <c r="L80" s="1">
        <v>0</v>
      </c>
      <c r="M80" s="1">
        <v>0</v>
      </c>
      <c r="N80" s="1">
        <v>0</v>
      </c>
      <c r="O80" s="1">
        <v>36</v>
      </c>
      <c r="P80" s="1">
        <v>0</v>
      </c>
      <c r="Q80" s="1">
        <v>33</v>
      </c>
      <c r="R80" s="1">
        <v>32</v>
      </c>
      <c r="S80" s="1">
        <v>0</v>
      </c>
      <c r="T80" s="1">
        <v>0</v>
      </c>
      <c r="U80" s="1">
        <v>0</v>
      </c>
      <c r="V80" s="1">
        <v>34</v>
      </c>
      <c r="W80" s="1"/>
      <c r="X80" s="1"/>
      <c r="Y80" s="1"/>
      <c r="Z80" s="1"/>
      <c r="AA80" s="1"/>
      <c r="AB80" s="1"/>
      <c r="AC80">
        <f t="shared" ref="AC80:AC111" si="14">SUM(D80:AB80)</f>
        <v>231</v>
      </c>
      <c r="AD80">
        <f t="shared" ref="AD80:AD115" si="15">COUNT(D80:AB80)</f>
        <v>19</v>
      </c>
      <c r="AE80">
        <f t="shared" ref="AE80:AE115" si="16">COUNTIF(D80:AB80,0)</f>
        <v>12</v>
      </c>
      <c r="AF80">
        <f t="shared" ref="AF80:AF115" si="17">AD80-AE80</f>
        <v>7</v>
      </c>
      <c r="AG80">
        <f t="shared" ref="AG80:AG115" si="18">AC80/AF80</f>
        <v>33</v>
      </c>
    </row>
    <row r="81" spans="3:33">
      <c r="C81" t="s">
        <v>170</v>
      </c>
      <c r="D81" s="1">
        <v>35</v>
      </c>
      <c r="E81" s="1">
        <v>41</v>
      </c>
      <c r="F81" s="1">
        <v>0</v>
      </c>
      <c r="G81" s="1">
        <v>31</v>
      </c>
      <c r="H81" s="1">
        <v>0</v>
      </c>
      <c r="I81" s="1">
        <v>30</v>
      </c>
      <c r="J81" s="1">
        <v>0</v>
      </c>
      <c r="K81" s="1">
        <v>0</v>
      </c>
      <c r="L81" s="1">
        <v>37</v>
      </c>
      <c r="M81" s="1">
        <v>0</v>
      </c>
      <c r="N81" s="1">
        <v>0</v>
      </c>
      <c r="O81" s="1">
        <v>30</v>
      </c>
      <c r="P81" s="1"/>
      <c r="Q81" s="1"/>
      <c r="R81" s="1"/>
      <c r="S81" s="1"/>
      <c r="T81" s="1"/>
      <c r="U81" s="1"/>
      <c r="V81" s="1"/>
      <c r="W81" s="1"/>
      <c r="X81" s="1"/>
      <c r="Y81" s="1"/>
      <c r="Z81" s="1"/>
      <c r="AA81" s="1"/>
      <c r="AB81" s="1"/>
      <c r="AC81">
        <f t="shared" si="14"/>
        <v>204</v>
      </c>
      <c r="AD81">
        <f t="shared" si="15"/>
        <v>12</v>
      </c>
      <c r="AE81">
        <f t="shared" si="16"/>
        <v>6</v>
      </c>
      <c r="AF81">
        <f t="shared" si="17"/>
        <v>6</v>
      </c>
      <c r="AG81">
        <f t="shared" si="18"/>
        <v>34</v>
      </c>
    </row>
    <row r="82" spans="3:33">
      <c r="C82" t="s">
        <v>171</v>
      </c>
      <c r="D82" s="1">
        <v>0</v>
      </c>
      <c r="E82" s="1">
        <v>0</v>
      </c>
      <c r="F82" s="1">
        <v>39</v>
      </c>
      <c r="G82" s="1">
        <v>30</v>
      </c>
      <c r="H82" s="1">
        <v>34</v>
      </c>
      <c r="I82" s="1">
        <v>35</v>
      </c>
      <c r="J82" s="1">
        <v>0</v>
      </c>
      <c r="K82" s="1">
        <v>35</v>
      </c>
      <c r="L82" s="1">
        <v>30</v>
      </c>
      <c r="M82" s="1"/>
      <c r="N82" s="1"/>
      <c r="O82" s="1"/>
      <c r="P82" s="1"/>
      <c r="Q82" s="1"/>
      <c r="R82" s="1"/>
      <c r="S82" s="1"/>
      <c r="T82" s="1"/>
      <c r="U82" s="1"/>
      <c r="V82" s="1"/>
      <c r="W82" s="1"/>
      <c r="X82" s="1"/>
      <c r="Y82" s="1"/>
      <c r="Z82" s="1"/>
      <c r="AA82" s="1"/>
      <c r="AB82" s="1"/>
      <c r="AC82">
        <f t="shared" si="14"/>
        <v>203</v>
      </c>
      <c r="AD82">
        <f t="shared" si="15"/>
        <v>9</v>
      </c>
      <c r="AE82">
        <f t="shared" si="16"/>
        <v>3</v>
      </c>
      <c r="AF82">
        <f t="shared" si="17"/>
        <v>6</v>
      </c>
      <c r="AG82">
        <f t="shared" si="18"/>
        <v>33.833333333333336</v>
      </c>
    </row>
    <row r="83" spans="3:33">
      <c r="C83" t="s">
        <v>172</v>
      </c>
      <c r="D83" s="1">
        <v>0</v>
      </c>
      <c r="E83" s="1">
        <v>32</v>
      </c>
      <c r="F83" s="1">
        <v>0</v>
      </c>
      <c r="G83" s="1">
        <v>31</v>
      </c>
      <c r="H83" s="1">
        <v>34</v>
      </c>
      <c r="I83" s="1">
        <v>0</v>
      </c>
      <c r="J83" s="1">
        <v>0</v>
      </c>
      <c r="K83" s="1">
        <v>31</v>
      </c>
      <c r="L83" s="1">
        <v>37</v>
      </c>
      <c r="M83" s="1">
        <v>37</v>
      </c>
      <c r="N83" s="1"/>
      <c r="O83" s="1"/>
      <c r="P83" s="1"/>
      <c r="Q83" s="1"/>
      <c r="R83" s="1"/>
      <c r="S83" s="1"/>
      <c r="T83" s="1"/>
      <c r="U83" s="1"/>
      <c r="V83" s="1"/>
      <c r="W83" s="1"/>
      <c r="X83" s="1"/>
      <c r="Y83" s="1"/>
      <c r="Z83" s="1"/>
      <c r="AA83" s="1"/>
      <c r="AB83" s="1"/>
      <c r="AC83">
        <f t="shared" si="14"/>
        <v>202</v>
      </c>
      <c r="AD83">
        <f t="shared" si="15"/>
        <v>10</v>
      </c>
      <c r="AE83">
        <f t="shared" si="16"/>
        <v>4</v>
      </c>
      <c r="AF83">
        <f t="shared" si="17"/>
        <v>6</v>
      </c>
      <c r="AG83">
        <f t="shared" si="18"/>
        <v>33.666666666666664</v>
      </c>
    </row>
    <row r="84" spans="3:33">
      <c r="C84" t="s">
        <v>173</v>
      </c>
      <c r="D84" s="1">
        <v>32</v>
      </c>
      <c r="E84" s="1">
        <v>35</v>
      </c>
      <c r="F84" s="1">
        <v>31</v>
      </c>
      <c r="G84" s="1">
        <v>36</v>
      </c>
      <c r="H84" s="1">
        <v>34</v>
      </c>
      <c r="I84" s="1">
        <v>33</v>
      </c>
      <c r="J84" s="1"/>
      <c r="K84" s="1"/>
      <c r="L84" s="1"/>
      <c r="M84" s="1"/>
      <c r="N84" s="1"/>
      <c r="O84" s="1"/>
      <c r="P84" s="1"/>
      <c r="Q84" s="1"/>
      <c r="R84" s="1"/>
      <c r="S84" s="1"/>
      <c r="T84" s="1"/>
      <c r="U84" s="1"/>
      <c r="V84" s="1"/>
      <c r="W84" s="1"/>
      <c r="X84" s="1"/>
      <c r="Y84" s="1"/>
      <c r="Z84" s="1"/>
      <c r="AA84" s="1"/>
      <c r="AB84" s="1"/>
      <c r="AC84">
        <f t="shared" si="14"/>
        <v>201</v>
      </c>
      <c r="AD84">
        <f t="shared" si="15"/>
        <v>6</v>
      </c>
      <c r="AE84">
        <f t="shared" si="16"/>
        <v>0</v>
      </c>
      <c r="AF84">
        <f t="shared" si="17"/>
        <v>6</v>
      </c>
      <c r="AG84">
        <f t="shared" si="18"/>
        <v>33.5</v>
      </c>
    </row>
    <row r="85" spans="3:33">
      <c r="C85" t="s">
        <v>174</v>
      </c>
      <c r="D85" s="1">
        <v>0</v>
      </c>
      <c r="E85" s="1">
        <v>0</v>
      </c>
      <c r="F85" s="1">
        <v>0</v>
      </c>
      <c r="G85" s="1">
        <v>37</v>
      </c>
      <c r="H85" s="1">
        <v>0</v>
      </c>
      <c r="I85" s="1">
        <v>0</v>
      </c>
      <c r="J85" s="1">
        <v>0</v>
      </c>
      <c r="K85" s="1">
        <v>0</v>
      </c>
      <c r="L85" s="1">
        <v>33</v>
      </c>
      <c r="M85" s="1">
        <v>39</v>
      </c>
      <c r="N85" s="1">
        <v>30</v>
      </c>
      <c r="O85" s="1">
        <v>0</v>
      </c>
      <c r="P85" s="1">
        <v>31</v>
      </c>
      <c r="Q85" s="1">
        <v>0</v>
      </c>
      <c r="R85" s="1">
        <v>0</v>
      </c>
      <c r="S85" s="1">
        <v>34</v>
      </c>
      <c r="T85" s="1"/>
      <c r="U85" s="1"/>
      <c r="V85" s="1"/>
      <c r="W85" s="1"/>
      <c r="X85" s="1"/>
      <c r="Y85" s="1"/>
      <c r="Z85" s="1"/>
      <c r="AA85" s="1"/>
      <c r="AB85" s="1"/>
      <c r="AC85">
        <f t="shared" si="14"/>
        <v>204</v>
      </c>
      <c r="AD85">
        <f t="shared" si="15"/>
        <v>16</v>
      </c>
      <c r="AE85">
        <f t="shared" si="16"/>
        <v>10</v>
      </c>
      <c r="AF85">
        <f t="shared" si="17"/>
        <v>6</v>
      </c>
      <c r="AG85">
        <f t="shared" si="18"/>
        <v>34</v>
      </c>
    </row>
    <row r="86" spans="3:33">
      <c r="C86" t="s">
        <v>175</v>
      </c>
      <c r="D86" s="1">
        <v>76</v>
      </c>
      <c r="E86" s="1">
        <v>33</v>
      </c>
      <c r="F86" s="1">
        <v>34</v>
      </c>
      <c r="G86" s="1">
        <v>36</v>
      </c>
      <c r="H86" s="1">
        <v>31</v>
      </c>
      <c r="I86" s="1"/>
      <c r="J86" s="1"/>
      <c r="K86" s="1"/>
      <c r="L86" s="1"/>
      <c r="M86" s="1"/>
      <c r="N86" s="1"/>
      <c r="O86" s="1"/>
      <c r="P86" s="1"/>
      <c r="Q86" s="1"/>
      <c r="R86" s="1"/>
      <c r="S86" s="1"/>
      <c r="T86" s="1"/>
      <c r="U86" s="1"/>
      <c r="V86" s="1"/>
      <c r="W86" s="1"/>
      <c r="X86" s="1"/>
      <c r="Y86" s="1"/>
      <c r="Z86" s="1"/>
      <c r="AA86" s="1"/>
      <c r="AB86" s="1"/>
      <c r="AC86">
        <f t="shared" si="14"/>
        <v>210</v>
      </c>
      <c r="AD86">
        <f t="shared" si="15"/>
        <v>5</v>
      </c>
      <c r="AE86">
        <f t="shared" si="16"/>
        <v>0</v>
      </c>
      <c r="AF86">
        <f t="shared" si="17"/>
        <v>5</v>
      </c>
      <c r="AG86">
        <f t="shared" si="18"/>
        <v>42</v>
      </c>
    </row>
    <row r="87" spans="3:33">
      <c r="C87" t="s">
        <v>176</v>
      </c>
      <c r="D87" s="1">
        <v>33</v>
      </c>
      <c r="E87" s="1">
        <v>30</v>
      </c>
      <c r="F87" s="1">
        <v>40</v>
      </c>
      <c r="G87" s="1">
        <v>0</v>
      </c>
      <c r="H87" s="1">
        <v>0</v>
      </c>
      <c r="I87" s="1">
        <v>42</v>
      </c>
      <c r="J87" s="1">
        <v>0</v>
      </c>
      <c r="K87" s="1">
        <v>0</v>
      </c>
      <c r="L87" s="1">
        <v>0</v>
      </c>
      <c r="M87" s="1">
        <v>0</v>
      </c>
      <c r="N87" s="1">
        <v>0</v>
      </c>
      <c r="O87" s="1">
        <v>34</v>
      </c>
      <c r="P87" s="1">
        <v>36</v>
      </c>
      <c r="Q87" s="1"/>
      <c r="R87" s="1"/>
      <c r="S87" s="1"/>
      <c r="T87" s="1"/>
      <c r="U87" s="1"/>
      <c r="V87" s="1"/>
      <c r="W87" s="1"/>
      <c r="X87" s="1"/>
      <c r="Y87" s="1"/>
      <c r="Z87" s="1"/>
      <c r="AA87" s="1"/>
      <c r="AB87" s="1"/>
      <c r="AC87">
        <f t="shared" si="14"/>
        <v>215</v>
      </c>
      <c r="AD87">
        <f t="shared" si="15"/>
        <v>13</v>
      </c>
      <c r="AE87">
        <f t="shared" si="16"/>
        <v>7</v>
      </c>
      <c r="AF87">
        <f t="shared" si="17"/>
        <v>6</v>
      </c>
      <c r="AG87">
        <f t="shared" si="18"/>
        <v>35.833333333333336</v>
      </c>
    </row>
    <row r="88" spans="3:33">
      <c r="C88" t="s">
        <v>177</v>
      </c>
      <c r="D88" s="1">
        <v>31</v>
      </c>
      <c r="E88" s="1">
        <v>0</v>
      </c>
      <c r="F88" s="1">
        <v>0</v>
      </c>
      <c r="G88" s="1">
        <v>0</v>
      </c>
      <c r="H88" s="1">
        <v>37</v>
      </c>
      <c r="I88" s="1">
        <v>0</v>
      </c>
      <c r="J88" s="1">
        <v>36</v>
      </c>
      <c r="K88" s="1">
        <v>0</v>
      </c>
      <c r="L88" s="1">
        <v>32</v>
      </c>
      <c r="M88" s="1">
        <v>0</v>
      </c>
      <c r="N88" s="1">
        <v>33</v>
      </c>
      <c r="O88" s="1">
        <v>0</v>
      </c>
      <c r="P88" s="1">
        <v>0</v>
      </c>
      <c r="Q88" s="1">
        <v>0</v>
      </c>
      <c r="R88" s="1">
        <v>30</v>
      </c>
      <c r="S88" s="1">
        <v>0</v>
      </c>
      <c r="T88" s="1">
        <v>0</v>
      </c>
      <c r="U88" s="1">
        <v>39</v>
      </c>
      <c r="V88" s="1"/>
      <c r="W88" s="1"/>
      <c r="X88" s="1"/>
      <c r="Y88" s="1"/>
      <c r="Z88" s="1"/>
      <c r="AA88" s="1"/>
      <c r="AB88" s="1"/>
      <c r="AC88">
        <f t="shared" si="14"/>
        <v>238</v>
      </c>
      <c r="AD88">
        <f t="shared" si="15"/>
        <v>18</v>
      </c>
      <c r="AE88">
        <f t="shared" si="16"/>
        <v>11</v>
      </c>
      <c r="AF88">
        <f t="shared" si="17"/>
        <v>7</v>
      </c>
      <c r="AG88">
        <f t="shared" si="18"/>
        <v>34</v>
      </c>
    </row>
    <row r="89" spans="3:33">
      <c r="C89" t="s">
        <v>178</v>
      </c>
      <c r="D89" s="1">
        <v>37</v>
      </c>
      <c r="E89" s="1">
        <v>31</v>
      </c>
      <c r="F89" s="1">
        <v>0</v>
      </c>
      <c r="G89" s="1">
        <v>32</v>
      </c>
      <c r="H89" s="1">
        <v>33</v>
      </c>
      <c r="I89" s="1">
        <v>0</v>
      </c>
      <c r="J89" s="1">
        <v>0</v>
      </c>
      <c r="K89" s="1">
        <v>39</v>
      </c>
      <c r="L89" s="1">
        <v>0</v>
      </c>
      <c r="M89" s="1">
        <v>0</v>
      </c>
      <c r="N89" s="1">
        <v>37</v>
      </c>
      <c r="O89" s="1"/>
      <c r="P89" s="1"/>
      <c r="Q89" s="1"/>
      <c r="R89" s="1"/>
      <c r="S89" s="1"/>
      <c r="T89" s="1"/>
      <c r="U89" s="1"/>
      <c r="V89" s="1"/>
      <c r="W89" s="1"/>
      <c r="X89" s="1"/>
      <c r="Y89" s="1"/>
      <c r="Z89" s="1"/>
      <c r="AA89" s="1"/>
      <c r="AB89" s="1"/>
      <c r="AC89">
        <f t="shared" si="14"/>
        <v>209</v>
      </c>
      <c r="AD89">
        <f t="shared" si="15"/>
        <v>11</v>
      </c>
      <c r="AE89">
        <f t="shared" si="16"/>
        <v>5</v>
      </c>
      <c r="AF89">
        <f t="shared" si="17"/>
        <v>6</v>
      </c>
      <c r="AG89">
        <f t="shared" si="18"/>
        <v>34.833333333333336</v>
      </c>
    </row>
    <row r="90" spans="3:33">
      <c r="C90" t="s">
        <v>179</v>
      </c>
      <c r="D90" s="1">
        <v>36</v>
      </c>
      <c r="E90" s="1">
        <v>31</v>
      </c>
      <c r="F90" s="1">
        <v>30</v>
      </c>
      <c r="G90" s="1">
        <v>0</v>
      </c>
      <c r="H90" s="1">
        <v>35</v>
      </c>
      <c r="I90" s="1">
        <v>0</v>
      </c>
      <c r="J90" s="1">
        <v>35</v>
      </c>
      <c r="K90" s="1">
        <v>0</v>
      </c>
      <c r="L90" s="1">
        <v>0</v>
      </c>
      <c r="M90" s="1">
        <v>0</v>
      </c>
      <c r="N90" s="1">
        <v>0</v>
      </c>
      <c r="O90" s="1">
        <v>35</v>
      </c>
      <c r="P90" s="1"/>
      <c r="Q90" s="1"/>
      <c r="R90" s="1"/>
      <c r="S90" s="1"/>
      <c r="T90" s="1"/>
      <c r="U90" s="1"/>
      <c r="V90" s="1"/>
      <c r="W90" s="1"/>
      <c r="X90" s="1"/>
      <c r="Y90" s="1"/>
      <c r="Z90" s="1"/>
      <c r="AA90" s="1"/>
      <c r="AB90" s="1"/>
      <c r="AC90">
        <f t="shared" si="14"/>
        <v>202</v>
      </c>
      <c r="AD90">
        <f t="shared" si="15"/>
        <v>12</v>
      </c>
      <c r="AE90">
        <f t="shared" si="16"/>
        <v>6</v>
      </c>
      <c r="AF90">
        <f t="shared" si="17"/>
        <v>6</v>
      </c>
      <c r="AG90">
        <f t="shared" si="18"/>
        <v>33.666666666666664</v>
      </c>
    </row>
    <row r="91" spans="3:33">
      <c r="C91" t="s">
        <v>180</v>
      </c>
      <c r="D91" s="1">
        <v>0</v>
      </c>
      <c r="E91" s="1">
        <v>30</v>
      </c>
      <c r="F91" s="1">
        <v>31</v>
      </c>
      <c r="G91" s="1">
        <v>0</v>
      </c>
      <c r="H91" s="1">
        <v>0</v>
      </c>
      <c r="I91" s="1">
        <v>37</v>
      </c>
      <c r="J91" s="1">
        <v>36</v>
      </c>
      <c r="K91" s="1">
        <v>0</v>
      </c>
      <c r="L91" s="1">
        <v>0</v>
      </c>
      <c r="M91" s="1">
        <v>38</v>
      </c>
      <c r="N91" s="1">
        <v>36</v>
      </c>
      <c r="O91" s="1"/>
      <c r="P91" s="1"/>
      <c r="Q91" s="1"/>
      <c r="R91" s="1"/>
      <c r="S91" s="1"/>
      <c r="T91" s="1"/>
      <c r="U91" s="1"/>
      <c r="V91" s="1"/>
      <c r="W91" s="1"/>
      <c r="X91" s="1"/>
      <c r="Y91" s="1"/>
      <c r="Z91" s="1"/>
      <c r="AA91" s="1"/>
      <c r="AB91" s="1"/>
      <c r="AC91">
        <f t="shared" si="14"/>
        <v>208</v>
      </c>
      <c r="AD91">
        <f t="shared" si="15"/>
        <v>11</v>
      </c>
      <c r="AE91">
        <f t="shared" si="16"/>
        <v>5</v>
      </c>
      <c r="AF91">
        <f t="shared" si="17"/>
        <v>6</v>
      </c>
      <c r="AG91">
        <f t="shared" si="18"/>
        <v>34.666666666666664</v>
      </c>
    </row>
    <row r="92" spans="3:33">
      <c r="C92" t="s">
        <v>181</v>
      </c>
      <c r="D92" s="1">
        <v>0</v>
      </c>
      <c r="E92" s="1">
        <v>40</v>
      </c>
      <c r="F92" s="1">
        <v>37</v>
      </c>
      <c r="G92" s="1">
        <v>31</v>
      </c>
      <c r="H92" s="1">
        <v>0</v>
      </c>
      <c r="I92" s="1">
        <v>33</v>
      </c>
      <c r="J92" s="1">
        <v>33</v>
      </c>
      <c r="K92" s="1">
        <v>34</v>
      </c>
      <c r="L92" s="1"/>
      <c r="M92" s="1"/>
      <c r="N92" s="1"/>
      <c r="O92" s="1"/>
      <c r="P92" s="1"/>
      <c r="Q92" s="1"/>
      <c r="R92" s="1"/>
      <c r="S92" s="1"/>
      <c r="T92" s="1"/>
      <c r="U92" s="1"/>
      <c r="V92" s="1"/>
      <c r="W92" s="1"/>
      <c r="X92" s="1"/>
      <c r="Y92" s="1"/>
      <c r="Z92" s="1"/>
      <c r="AA92" s="1"/>
      <c r="AB92" s="1"/>
      <c r="AC92">
        <f t="shared" si="14"/>
        <v>208</v>
      </c>
      <c r="AD92">
        <f t="shared" si="15"/>
        <v>8</v>
      </c>
      <c r="AE92">
        <f t="shared" si="16"/>
        <v>2</v>
      </c>
      <c r="AF92">
        <f t="shared" si="17"/>
        <v>6</v>
      </c>
      <c r="AG92">
        <f t="shared" si="18"/>
        <v>34.666666666666664</v>
      </c>
    </row>
    <row r="93" spans="3:33">
      <c r="C93" t="s">
        <v>182</v>
      </c>
      <c r="D93" s="1">
        <v>30</v>
      </c>
      <c r="E93" s="1">
        <v>0</v>
      </c>
      <c r="F93" s="1">
        <v>38</v>
      </c>
      <c r="G93" s="1">
        <v>0</v>
      </c>
      <c r="H93" s="1">
        <v>41</v>
      </c>
      <c r="I93" s="1">
        <v>32</v>
      </c>
      <c r="J93" s="1">
        <v>33</v>
      </c>
      <c r="K93" s="1">
        <v>35</v>
      </c>
      <c r="L93" s="1"/>
      <c r="M93" s="1"/>
      <c r="N93" s="1"/>
      <c r="O93" s="1"/>
      <c r="P93" s="1"/>
      <c r="Q93" s="1"/>
      <c r="R93" s="1"/>
      <c r="S93" s="1"/>
      <c r="T93" s="1"/>
      <c r="U93" s="1"/>
      <c r="V93" s="1"/>
      <c r="W93" s="1"/>
      <c r="X93" s="1"/>
      <c r="Y93" s="1"/>
      <c r="Z93" s="1"/>
      <c r="AA93" s="1"/>
      <c r="AB93" s="1"/>
      <c r="AC93">
        <f t="shared" si="14"/>
        <v>209</v>
      </c>
      <c r="AD93">
        <f t="shared" si="15"/>
        <v>8</v>
      </c>
      <c r="AE93">
        <f t="shared" si="16"/>
        <v>2</v>
      </c>
      <c r="AF93">
        <f t="shared" si="17"/>
        <v>6</v>
      </c>
      <c r="AG93">
        <f t="shared" si="18"/>
        <v>34.833333333333336</v>
      </c>
    </row>
    <row r="94" spans="3:33">
      <c r="C94" t="s">
        <v>183</v>
      </c>
      <c r="D94" s="1">
        <v>0</v>
      </c>
      <c r="E94" s="1">
        <v>30</v>
      </c>
      <c r="F94" s="1">
        <v>31</v>
      </c>
      <c r="G94" s="1">
        <v>33</v>
      </c>
      <c r="H94" s="1">
        <v>35</v>
      </c>
      <c r="I94" s="1">
        <v>0</v>
      </c>
      <c r="J94" s="1">
        <v>32</v>
      </c>
      <c r="K94" s="1">
        <v>34</v>
      </c>
      <c r="L94" s="1">
        <v>31</v>
      </c>
      <c r="M94" s="1"/>
      <c r="N94" s="1"/>
      <c r="O94" s="1"/>
      <c r="P94" s="1"/>
      <c r="Q94" s="1"/>
      <c r="R94" s="1"/>
      <c r="S94" s="1"/>
      <c r="T94" s="1"/>
      <c r="U94" s="1"/>
      <c r="V94" s="1"/>
      <c r="W94" s="1"/>
      <c r="X94" s="1"/>
      <c r="Y94" s="1"/>
      <c r="Z94" s="1"/>
      <c r="AA94" s="1"/>
      <c r="AB94" s="1"/>
      <c r="AC94">
        <f t="shared" si="14"/>
        <v>226</v>
      </c>
      <c r="AD94">
        <f t="shared" si="15"/>
        <v>9</v>
      </c>
      <c r="AE94">
        <f t="shared" si="16"/>
        <v>2</v>
      </c>
      <c r="AF94">
        <f t="shared" si="17"/>
        <v>7</v>
      </c>
      <c r="AG94">
        <f t="shared" si="18"/>
        <v>32.285714285714285</v>
      </c>
    </row>
    <row r="95" spans="3:33">
      <c r="C95" t="s">
        <v>184</v>
      </c>
      <c r="D95" s="1">
        <v>32</v>
      </c>
      <c r="E95" s="1">
        <v>34</v>
      </c>
      <c r="F95" s="1">
        <v>32</v>
      </c>
      <c r="G95" s="1">
        <v>0</v>
      </c>
      <c r="H95" s="1">
        <v>0</v>
      </c>
      <c r="I95" s="1">
        <v>0</v>
      </c>
      <c r="J95" s="1">
        <v>0</v>
      </c>
      <c r="K95" s="1">
        <v>33</v>
      </c>
      <c r="L95" s="1">
        <v>35</v>
      </c>
      <c r="M95" s="1">
        <v>31</v>
      </c>
      <c r="N95" s="1">
        <v>31</v>
      </c>
      <c r="O95" s="1"/>
      <c r="P95" s="1"/>
      <c r="Q95" s="1"/>
      <c r="R95" s="1"/>
      <c r="S95" s="1"/>
      <c r="T95" s="1"/>
      <c r="U95" s="1"/>
      <c r="V95" s="1"/>
      <c r="W95" s="1"/>
      <c r="X95" s="1"/>
      <c r="Y95" s="1"/>
      <c r="Z95" s="1"/>
      <c r="AA95" s="1"/>
      <c r="AB95" s="1"/>
      <c r="AC95">
        <f t="shared" si="14"/>
        <v>228</v>
      </c>
      <c r="AD95">
        <f t="shared" si="15"/>
        <v>11</v>
      </c>
      <c r="AE95">
        <f t="shared" si="16"/>
        <v>4</v>
      </c>
      <c r="AF95">
        <f t="shared" si="17"/>
        <v>7</v>
      </c>
      <c r="AG95">
        <f t="shared" si="18"/>
        <v>32.571428571428569</v>
      </c>
    </row>
    <row r="96" spans="3:33">
      <c r="C96" t="s">
        <v>185</v>
      </c>
      <c r="D96" s="1">
        <v>33</v>
      </c>
      <c r="E96" s="1">
        <v>0</v>
      </c>
      <c r="F96" s="1">
        <v>0</v>
      </c>
      <c r="G96" s="1">
        <v>33</v>
      </c>
      <c r="H96" s="1">
        <v>33</v>
      </c>
      <c r="I96" s="1">
        <v>32</v>
      </c>
      <c r="J96" s="1">
        <v>33</v>
      </c>
      <c r="K96" s="1">
        <v>35</v>
      </c>
      <c r="L96" s="1">
        <v>34</v>
      </c>
      <c r="M96" s="1"/>
      <c r="N96" s="1"/>
      <c r="O96" s="1"/>
      <c r="P96" s="1"/>
      <c r="Q96" s="1"/>
      <c r="R96" s="1"/>
      <c r="S96" s="1"/>
      <c r="T96" s="1"/>
      <c r="U96" s="1"/>
      <c r="V96" s="1"/>
      <c r="W96" s="1"/>
      <c r="X96" s="1"/>
      <c r="Y96" s="1"/>
      <c r="Z96" s="1"/>
      <c r="AA96" s="1"/>
      <c r="AB96" s="1"/>
      <c r="AC96">
        <f t="shared" si="14"/>
        <v>233</v>
      </c>
      <c r="AD96">
        <f t="shared" si="15"/>
        <v>9</v>
      </c>
      <c r="AE96">
        <f t="shared" si="16"/>
        <v>2</v>
      </c>
      <c r="AF96">
        <f t="shared" si="17"/>
        <v>7</v>
      </c>
      <c r="AG96">
        <f t="shared" si="18"/>
        <v>33.285714285714285</v>
      </c>
    </row>
    <row r="97" spans="3:33">
      <c r="C97" t="s">
        <v>186</v>
      </c>
      <c r="D97" s="1">
        <v>0</v>
      </c>
      <c r="E97" s="1">
        <v>32</v>
      </c>
      <c r="F97" s="1">
        <v>32</v>
      </c>
      <c r="G97" s="1">
        <v>33</v>
      </c>
      <c r="H97" s="1">
        <v>33</v>
      </c>
      <c r="I97" s="1">
        <v>31</v>
      </c>
      <c r="J97" s="1">
        <v>0</v>
      </c>
      <c r="K97" s="1">
        <v>34</v>
      </c>
      <c r="L97" s="1">
        <v>0</v>
      </c>
      <c r="M97" s="1">
        <v>0</v>
      </c>
      <c r="N97" s="1">
        <v>0</v>
      </c>
      <c r="O97" s="1">
        <v>32</v>
      </c>
      <c r="P97" s="1"/>
      <c r="Q97" s="1"/>
      <c r="R97" s="1"/>
      <c r="S97" s="1"/>
      <c r="T97" s="1"/>
      <c r="U97" s="1"/>
      <c r="V97" s="1"/>
      <c r="W97" s="1"/>
      <c r="X97" s="1"/>
      <c r="Y97" s="1"/>
      <c r="Z97" s="1"/>
      <c r="AA97" s="1"/>
      <c r="AB97" s="1"/>
      <c r="AC97">
        <f t="shared" si="14"/>
        <v>227</v>
      </c>
      <c r="AD97">
        <f t="shared" si="15"/>
        <v>12</v>
      </c>
      <c r="AE97">
        <f t="shared" si="16"/>
        <v>5</v>
      </c>
      <c r="AF97">
        <f t="shared" si="17"/>
        <v>7</v>
      </c>
      <c r="AG97">
        <f t="shared" si="18"/>
        <v>32.428571428571431</v>
      </c>
    </row>
    <row r="98" spans="3:33">
      <c r="C98" t="s">
        <v>187</v>
      </c>
      <c r="D98" s="1">
        <v>0</v>
      </c>
      <c r="E98" s="1">
        <v>38</v>
      </c>
      <c r="F98" s="1">
        <v>39</v>
      </c>
      <c r="G98" s="1">
        <v>0</v>
      </c>
      <c r="H98" s="1">
        <v>0</v>
      </c>
      <c r="I98" s="1">
        <v>33</v>
      </c>
      <c r="J98" s="1">
        <v>38</v>
      </c>
      <c r="K98" s="1">
        <v>32</v>
      </c>
      <c r="L98" s="1">
        <v>39</v>
      </c>
      <c r="M98" s="1"/>
      <c r="N98" s="1"/>
      <c r="O98" s="1"/>
      <c r="P98" s="1"/>
      <c r="Q98" s="1"/>
      <c r="R98" s="1"/>
      <c r="S98" s="1"/>
      <c r="T98" s="1"/>
      <c r="U98" s="1"/>
      <c r="V98" s="1"/>
      <c r="W98" s="1"/>
      <c r="X98" s="1"/>
      <c r="Y98" s="1"/>
      <c r="Z98" s="1"/>
      <c r="AA98" s="1"/>
      <c r="AB98" s="1"/>
      <c r="AC98">
        <f t="shared" si="14"/>
        <v>219</v>
      </c>
      <c r="AD98">
        <f t="shared" si="15"/>
        <v>9</v>
      </c>
      <c r="AE98">
        <f t="shared" si="16"/>
        <v>3</v>
      </c>
      <c r="AF98">
        <f t="shared" si="17"/>
        <v>6</v>
      </c>
      <c r="AG98">
        <f t="shared" si="18"/>
        <v>36.5</v>
      </c>
    </row>
    <row r="99" spans="3:33">
      <c r="C99" t="s">
        <v>188</v>
      </c>
      <c r="D99" s="1">
        <v>33</v>
      </c>
      <c r="E99" s="1">
        <v>37</v>
      </c>
      <c r="F99" s="1">
        <v>34</v>
      </c>
      <c r="G99" s="1">
        <v>38</v>
      </c>
      <c r="H99" s="1">
        <v>39</v>
      </c>
      <c r="I99" s="1">
        <v>35</v>
      </c>
      <c r="J99" s="1"/>
      <c r="K99" s="1"/>
      <c r="L99" s="1"/>
      <c r="M99" s="1"/>
      <c r="N99" s="1"/>
      <c r="O99" s="1"/>
      <c r="P99" s="1"/>
      <c r="Q99" s="1"/>
      <c r="R99" s="1"/>
      <c r="S99" s="1"/>
      <c r="T99" s="1"/>
      <c r="U99" s="1"/>
      <c r="V99" s="1"/>
      <c r="W99" s="1"/>
      <c r="X99" s="1"/>
      <c r="Y99" s="1"/>
      <c r="Z99" s="1"/>
      <c r="AA99" s="1"/>
      <c r="AB99" s="1"/>
      <c r="AC99">
        <f t="shared" si="14"/>
        <v>216</v>
      </c>
      <c r="AD99">
        <f t="shared" si="15"/>
        <v>6</v>
      </c>
      <c r="AE99">
        <f t="shared" si="16"/>
        <v>0</v>
      </c>
      <c r="AF99">
        <f t="shared" si="17"/>
        <v>6</v>
      </c>
      <c r="AG99">
        <f t="shared" si="18"/>
        <v>36</v>
      </c>
    </row>
    <row r="100" spans="3:33">
      <c r="C100" t="s">
        <v>189</v>
      </c>
      <c r="D100" s="1">
        <v>38</v>
      </c>
      <c r="E100" s="1">
        <v>36</v>
      </c>
      <c r="F100" s="1">
        <v>0</v>
      </c>
      <c r="G100" s="1">
        <v>0</v>
      </c>
      <c r="H100" s="1">
        <v>35</v>
      </c>
      <c r="I100" s="1">
        <v>39</v>
      </c>
      <c r="J100" s="1">
        <v>30</v>
      </c>
      <c r="K100" s="1">
        <v>0</v>
      </c>
      <c r="L100" s="1">
        <v>35</v>
      </c>
      <c r="M100" s="1"/>
      <c r="N100" s="1"/>
      <c r="O100" s="1"/>
      <c r="P100" s="1"/>
      <c r="Q100" s="1"/>
      <c r="R100" s="1"/>
      <c r="S100" s="1"/>
      <c r="T100" s="1"/>
      <c r="U100" s="1"/>
      <c r="V100" s="1"/>
      <c r="W100" s="1"/>
      <c r="X100" s="1"/>
      <c r="Y100" s="1"/>
      <c r="Z100" s="1"/>
      <c r="AA100" s="1"/>
      <c r="AB100" s="1"/>
      <c r="AC100">
        <f t="shared" si="14"/>
        <v>213</v>
      </c>
      <c r="AD100">
        <f t="shared" si="15"/>
        <v>9</v>
      </c>
      <c r="AE100">
        <f t="shared" si="16"/>
        <v>3</v>
      </c>
      <c r="AF100">
        <f t="shared" si="17"/>
        <v>6</v>
      </c>
      <c r="AG100">
        <f t="shared" si="18"/>
        <v>35.5</v>
      </c>
    </row>
    <row r="101" spans="3:33">
      <c r="C101" t="s">
        <v>190</v>
      </c>
      <c r="D101" s="1">
        <v>32</v>
      </c>
      <c r="E101" s="1">
        <v>0</v>
      </c>
      <c r="F101" s="1">
        <v>39</v>
      </c>
      <c r="G101" s="1">
        <v>0</v>
      </c>
      <c r="H101" s="1">
        <v>40</v>
      </c>
      <c r="I101" s="1">
        <v>33</v>
      </c>
      <c r="J101" s="1">
        <v>0</v>
      </c>
      <c r="K101" s="1">
        <v>36</v>
      </c>
      <c r="L101" s="1">
        <v>0</v>
      </c>
      <c r="M101" s="1">
        <v>30</v>
      </c>
      <c r="N101" s="1"/>
      <c r="O101" s="1"/>
      <c r="P101" s="1"/>
      <c r="Q101" s="1"/>
      <c r="R101" s="1"/>
      <c r="S101" s="1"/>
      <c r="T101" s="1"/>
      <c r="U101" s="1"/>
      <c r="V101" s="1"/>
      <c r="W101" s="1"/>
      <c r="X101" s="1"/>
      <c r="Y101" s="1"/>
      <c r="Z101" s="1"/>
      <c r="AA101" s="1"/>
      <c r="AB101" s="1"/>
      <c r="AC101">
        <f t="shared" si="14"/>
        <v>210</v>
      </c>
      <c r="AD101">
        <f t="shared" si="15"/>
        <v>10</v>
      </c>
      <c r="AE101">
        <f t="shared" si="16"/>
        <v>4</v>
      </c>
      <c r="AF101">
        <f t="shared" si="17"/>
        <v>6</v>
      </c>
      <c r="AG101">
        <f t="shared" si="18"/>
        <v>35</v>
      </c>
    </row>
    <row r="102" spans="3:33">
      <c r="C102" t="s">
        <v>191</v>
      </c>
      <c r="D102" s="1">
        <v>0</v>
      </c>
      <c r="E102" s="1">
        <v>0</v>
      </c>
      <c r="F102" s="1">
        <v>30</v>
      </c>
      <c r="G102" s="1">
        <v>38</v>
      </c>
      <c r="H102" s="1">
        <v>0</v>
      </c>
      <c r="I102" s="1">
        <v>32</v>
      </c>
      <c r="J102" s="1">
        <v>34</v>
      </c>
      <c r="K102" s="1">
        <v>32</v>
      </c>
      <c r="L102" s="1">
        <v>31</v>
      </c>
      <c r="M102" s="1">
        <v>30</v>
      </c>
      <c r="N102" s="1"/>
      <c r="O102" s="1"/>
      <c r="P102" s="1"/>
      <c r="Q102" s="1"/>
      <c r="R102" s="1"/>
      <c r="S102" s="1"/>
      <c r="T102" s="1"/>
      <c r="U102" s="1"/>
      <c r="V102" s="1"/>
      <c r="W102" s="1"/>
      <c r="X102" s="1"/>
      <c r="Y102" s="1"/>
      <c r="Z102" s="1"/>
      <c r="AA102" s="1"/>
      <c r="AB102" s="1"/>
      <c r="AC102">
        <f t="shared" si="14"/>
        <v>227</v>
      </c>
      <c r="AD102">
        <f t="shared" si="15"/>
        <v>10</v>
      </c>
      <c r="AE102">
        <f t="shared" si="16"/>
        <v>3</v>
      </c>
      <c r="AF102">
        <f t="shared" si="17"/>
        <v>7</v>
      </c>
      <c r="AG102">
        <f t="shared" si="18"/>
        <v>32.428571428571431</v>
      </c>
    </row>
    <row r="103" spans="3:33">
      <c r="C103" t="s">
        <v>192</v>
      </c>
      <c r="D103" s="1">
        <v>40</v>
      </c>
      <c r="E103" s="1">
        <v>38</v>
      </c>
      <c r="F103" s="1">
        <v>35</v>
      </c>
      <c r="G103" s="1">
        <v>34</v>
      </c>
      <c r="H103" s="1">
        <v>0</v>
      </c>
      <c r="I103" s="1">
        <v>34</v>
      </c>
      <c r="J103" s="1">
        <v>0</v>
      </c>
      <c r="K103" s="1">
        <v>33</v>
      </c>
      <c r="L103" s="1"/>
      <c r="M103" s="1"/>
      <c r="N103" s="1"/>
      <c r="O103" s="1"/>
      <c r="P103" s="1"/>
      <c r="Q103" s="1"/>
      <c r="R103" s="1"/>
      <c r="S103" s="1"/>
      <c r="T103" s="1"/>
      <c r="U103" s="1"/>
      <c r="V103" s="1"/>
      <c r="W103" s="1"/>
      <c r="X103" s="1"/>
      <c r="Y103" s="1"/>
      <c r="Z103" s="1"/>
      <c r="AA103" s="1"/>
      <c r="AB103" s="1"/>
      <c r="AC103">
        <f t="shared" si="14"/>
        <v>214</v>
      </c>
      <c r="AD103">
        <f t="shared" si="15"/>
        <v>8</v>
      </c>
      <c r="AE103">
        <f t="shared" si="16"/>
        <v>2</v>
      </c>
      <c r="AF103">
        <f t="shared" si="17"/>
        <v>6</v>
      </c>
      <c r="AG103">
        <f t="shared" si="18"/>
        <v>35.666666666666664</v>
      </c>
    </row>
    <row r="104" spans="3:33">
      <c r="C104" t="s">
        <v>193</v>
      </c>
      <c r="D104" s="1">
        <v>37</v>
      </c>
      <c r="E104" s="1">
        <v>0</v>
      </c>
      <c r="F104" s="1">
        <v>40</v>
      </c>
      <c r="G104" s="1">
        <v>35</v>
      </c>
      <c r="H104" s="1">
        <v>0</v>
      </c>
      <c r="I104" s="1">
        <v>0</v>
      </c>
      <c r="J104" s="1">
        <v>0</v>
      </c>
      <c r="K104" s="1">
        <v>35</v>
      </c>
      <c r="L104" s="1">
        <v>34</v>
      </c>
      <c r="M104" s="1">
        <v>34</v>
      </c>
      <c r="N104" s="1"/>
      <c r="O104" s="1"/>
      <c r="P104" s="1"/>
      <c r="Q104" s="1"/>
      <c r="R104" s="1"/>
      <c r="S104" s="1"/>
      <c r="T104" s="1"/>
      <c r="U104" s="1"/>
      <c r="V104" s="1"/>
      <c r="W104" s="1"/>
      <c r="X104" s="1"/>
      <c r="Y104" s="1"/>
      <c r="Z104" s="1"/>
      <c r="AA104" s="1"/>
      <c r="AB104" s="1"/>
      <c r="AC104">
        <f t="shared" si="14"/>
        <v>215</v>
      </c>
      <c r="AD104">
        <f t="shared" si="15"/>
        <v>10</v>
      </c>
      <c r="AE104">
        <f t="shared" si="16"/>
        <v>4</v>
      </c>
      <c r="AF104">
        <f t="shared" si="17"/>
        <v>6</v>
      </c>
      <c r="AG104">
        <f t="shared" si="18"/>
        <v>35.833333333333336</v>
      </c>
    </row>
    <row r="105" spans="3:33">
      <c r="C105" t="s">
        <v>194</v>
      </c>
      <c r="D105" s="1">
        <v>0</v>
      </c>
      <c r="E105" s="1">
        <v>0</v>
      </c>
      <c r="F105" s="1">
        <v>0</v>
      </c>
      <c r="G105" s="1">
        <v>0</v>
      </c>
      <c r="H105" s="1">
        <v>0</v>
      </c>
      <c r="I105" s="1">
        <v>0</v>
      </c>
      <c r="J105" s="1">
        <v>30</v>
      </c>
      <c r="K105" s="1">
        <v>0</v>
      </c>
      <c r="L105" s="1">
        <v>0</v>
      </c>
      <c r="M105" s="1">
        <v>0</v>
      </c>
      <c r="N105" s="1">
        <v>33</v>
      </c>
      <c r="O105" s="1">
        <v>39</v>
      </c>
      <c r="P105" s="1">
        <v>37</v>
      </c>
      <c r="Q105" s="1">
        <v>33</v>
      </c>
      <c r="R105" s="1">
        <v>0</v>
      </c>
      <c r="S105" s="1">
        <v>31</v>
      </c>
      <c r="T105" s="1"/>
      <c r="U105" s="1"/>
      <c r="V105" s="1"/>
      <c r="W105" s="1"/>
      <c r="X105" s="1"/>
      <c r="Y105" s="1"/>
      <c r="Z105" s="1"/>
      <c r="AA105" s="1"/>
      <c r="AB105" s="1"/>
      <c r="AC105">
        <f t="shared" si="14"/>
        <v>203</v>
      </c>
      <c r="AD105">
        <f t="shared" si="15"/>
        <v>16</v>
      </c>
      <c r="AE105">
        <f t="shared" si="16"/>
        <v>10</v>
      </c>
      <c r="AF105">
        <f t="shared" si="17"/>
        <v>6</v>
      </c>
      <c r="AG105">
        <f t="shared" si="18"/>
        <v>33.833333333333336</v>
      </c>
    </row>
    <row r="106" spans="3:33">
      <c r="C106" t="s">
        <v>195</v>
      </c>
      <c r="D106" s="1">
        <v>36</v>
      </c>
      <c r="E106" s="1">
        <v>0</v>
      </c>
      <c r="F106" s="1">
        <v>0</v>
      </c>
      <c r="G106" s="1">
        <v>38</v>
      </c>
      <c r="H106" s="1">
        <v>42</v>
      </c>
      <c r="I106" s="1">
        <v>31</v>
      </c>
      <c r="J106" s="1">
        <v>34</v>
      </c>
      <c r="K106" s="1">
        <v>0</v>
      </c>
      <c r="L106" s="1">
        <v>36</v>
      </c>
      <c r="M106" s="1"/>
      <c r="N106" s="1"/>
      <c r="O106" s="1"/>
      <c r="P106" s="1"/>
      <c r="Q106" s="1"/>
      <c r="R106" s="1"/>
      <c r="S106" s="1"/>
      <c r="T106" s="1"/>
      <c r="U106" s="1"/>
      <c r="V106" s="1"/>
      <c r="W106" s="1"/>
      <c r="X106" s="1"/>
      <c r="Y106" s="1"/>
      <c r="Z106" s="1"/>
      <c r="AA106" s="1"/>
      <c r="AB106" s="1"/>
      <c r="AC106">
        <f t="shared" si="14"/>
        <v>217</v>
      </c>
      <c r="AD106">
        <f t="shared" si="15"/>
        <v>9</v>
      </c>
      <c r="AE106">
        <f t="shared" si="16"/>
        <v>3</v>
      </c>
      <c r="AF106">
        <f t="shared" si="17"/>
        <v>6</v>
      </c>
      <c r="AG106">
        <f t="shared" si="18"/>
        <v>36.166666666666664</v>
      </c>
    </row>
    <row r="107" spans="3:33">
      <c r="C107" t="s">
        <v>196</v>
      </c>
      <c r="D107" s="1">
        <v>33</v>
      </c>
      <c r="E107" s="1">
        <v>36</v>
      </c>
      <c r="F107" s="1">
        <v>31</v>
      </c>
      <c r="G107" s="1">
        <v>35</v>
      </c>
      <c r="H107" s="1">
        <v>35</v>
      </c>
      <c r="I107" s="1">
        <v>31</v>
      </c>
      <c r="J107" s="1"/>
      <c r="K107" s="1"/>
      <c r="L107" s="1"/>
      <c r="M107" s="1"/>
      <c r="N107" s="1"/>
      <c r="O107" s="1"/>
      <c r="P107" s="1"/>
      <c r="Q107" s="1"/>
      <c r="R107" s="1"/>
      <c r="S107" s="1"/>
      <c r="T107" s="1"/>
      <c r="U107" s="1"/>
      <c r="V107" s="1"/>
      <c r="W107" s="1"/>
      <c r="X107" s="1"/>
      <c r="Y107" s="1"/>
      <c r="Z107" s="1"/>
      <c r="AA107" s="1"/>
      <c r="AB107" s="1"/>
      <c r="AC107">
        <f t="shared" si="14"/>
        <v>201</v>
      </c>
      <c r="AD107">
        <f t="shared" si="15"/>
        <v>6</v>
      </c>
      <c r="AE107">
        <f t="shared" si="16"/>
        <v>0</v>
      </c>
      <c r="AF107">
        <f t="shared" si="17"/>
        <v>6</v>
      </c>
      <c r="AG107">
        <f t="shared" si="18"/>
        <v>33.5</v>
      </c>
    </row>
    <row r="108" spans="3:33">
      <c r="C108" t="s">
        <v>197</v>
      </c>
      <c r="D108" s="1">
        <v>35</v>
      </c>
      <c r="E108" s="1">
        <v>34</v>
      </c>
      <c r="F108" s="1">
        <v>36</v>
      </c>
      <c r="G108" s="1">
        <v>31</v>
      </c>
      <c r="H108" s="1">
        <v>0</v>
      </c>
      <c r="I108" s="1">
        <v>30</v>
      </c>
      <c r="J108" s="1">
        <v>0</v>
      </c>
      <c r="K108" s="1">
        <v>37</v>
      </c>
      <c r="L108" s="1"/>
      <c r="M108" s="1"/>
      <c r="N108" s="1"/>
      <c r="O108" s="1"/>
      <c r="P108" s="1"/>
      <c r="Q108" s="1"/>
      <c r="R108" s="1"/>
      <c r="S108" s="1"/>
      <c r="T108" s="1"/>
      <c r="U108" s="1"/>
      <c r="V108" s="1"/>
      <c r="W108" s="1"/>
      <c r="X108" s="1"/>
      <c r="Y108" s="1"/>
      <c r="Z108" s="1"/>
      <c r="AA108" s="1"/>
      <c r="AB108" s="1"/>
      <c r="AC108">
        <f t="shared" si="14"/>
        <v>203</v>
      </c>
      <c r="AD108">
        <f t="shared" si="15"/>
        <v>8</v>
      </c>
      <c r="AE108">
        <f t="shared" si="16"/>
        <v>2</v>
      </c>
      <c r="AF108">
        <f t="shared" si="17"/>
        <v>6</v>
      </c>
      <c r="AG108">
        <f t="shared" si="18"/>
        <v>33.833333333333336</v>
      </c>
    </row>
    <row r="109" spans="3:33">
      <c r="C109" t="s">
        <v>198</v>
      </c>
      <c r="D109" s="1">
        <v>0</v>
      </c>
      <c r="E109" s="1">
        <v>0</v>
      </c>
      <c r="F109" s="1">
        <v>35</v>
      </c>
      <c r="G109" s="1">
        <v>39</v>
      </c>
      <c r="H109" s="1">
        <v>30</v>
      </c>
      <c r="I109" s="1">
        <v>34</v>
      </c>
      <c r="J109" s="1">
        <v>0</v>
      </c>
      <c r="K109" s="1">
        <v>41</v>
      </c>
      <c r="L109" s="1">
        <v>32</v>
      </c>
      <c r="M109" s="1"/>
      <c r="N109" s="1"/>
      <c r="O109" s="1"/>
      <c r="P109" s="1"/>
      <c r="Q109" s="1"/>
      <c r="R109" s="1"/>
      <c r="S109" s="1"/>
      <c r="T109" s="1"/>
      <c r="U109" s="1"/>
      <c r="V109" s="1"/>
      <c r="W109" s="1"/>
      <c r="X109" s="1"/>
      <c r="Y109" s="1"/>
      <c r="Z109" s="1"/>
      <c r="AA109" s="1"/>
      <c r="AB109" s="1"/>
      <c r="AC109">
        <f t="shared" si="14"/>
        <v>211</v>
      </c>
      <c r="AD109">
        <f t="shared" si="15"/>
        <v>9</v>
      </c>
      <c r="AE109">
        <f t="shared" si="16"/>
        <v>3</v>
      </c>
      <c r="AF109">
        <f t="shared" si="17"/>
        <v>6</v>
      </c>
      <c r="AG109">
        <f t="shared" si="18"/>
        <v>35.166666666666664</v>
      </c>
    </row>
    <row r="110" spans="3:33">
      <c r="C110" t="s">
        <v>199</v>
      </c>
      <c r="D110" s="1">
        <v>0</v>
      </c>
      <c r="E110" s="1">
        <v>0</v>
      </c>
      <c r="F110" s="1">
        <v>34</v>
      </c>
      <c r="G110" s="1">
        <v>0</v>
      </c>
      <c r="H110" s="1">
        <v>30</v>
      </c>
      <c r="I110" s="1">
        <v>31</v>
      </c>
      <c r="J110" s="1">
        <v>31</v>
      </c>
      <c r="K110" s="1">
        <v>30</v>
      </c>
      <c r="L110" s="1">
        <v>32</v>
      </c>
      <c r="M110" s="1">
        <v>32</v>
      </c>
      <c r="N110" s="1"/>
      <c r="O110" s="1"/>
      <c r="P110" s="1"/>
      <c r="Q110" s="1"/>
      <c r="R110" s="1"/>
      <c r="S110" s="1"/>
      <c r="T110" s="1"/>
      <c r="U110" s="1"/>
      <c r="V110" s="1"/>
      <c r="W110" s="1"/>
      <c r="X110" s="1"/>
      <c r="Y110" s="1"/>
      <c r="Z110" s="1"/>
      <c r="AA110" s="1"/>
      <c r="AB110" s="1"/>
      <c r="AC110">
        <f t="shared" si="14"/>
        <v>220</v>
      </c>
      <c r="AD110">
        <f t="shared" si="15"/>
        <v>10</v>
      </c>
      <c r="AE110">
        <f t="shared" si="16"/>
        <v>3</v>
      </c>
      <c r="AF110">
        <f t="shared" si="17"/>
        <v>7</v>
      </c>
      <c r="AG110">
        <f t="shared" si="18"/>
        <v>31.428571428571427</v>
      </c>
    </row>
    <row r="111" spans="3:33">
      <c r="C111" t="s">
        <v>200</v>
      </c>
      <c r="D111" s="1">
        <v>0</v>
      </c>
      <c r="E111" s="1">
        <v>34</v>
      </c>
      <c r="F111" s="1">
        <v>0</v>
      </c>
      <c r="G111" s="1">
        <v>0</v>
      </c>
      <c r="H111" s="1">
        <v>0</v>
      </c>
      <c r="I111" s="1">
        <v>31</v>
      </c>
      <c r="J111" s="1">
        <v>34</v>
      </c>
      <c r="K111" s="1">
        <v>42</v>
      </c>
      <c r="L111" s="1">
        <v>0</v>
      </c>
      <c r="M111" s="1">
        <v>0</v>
      </c>
      <c r="N111" s="1">
        <v>0</v>
      </c>
      <c r="O111" s="1">
        <v>42</v>
      </c>
      <c r="P111" s="1">
        <v>40</v>
      </c>
      <c r="Q111" s="1"/>
      <c r="R111" s="1"/>
      <c r="S111" s="1"/>
      <c r="T111" s="1"/>
      <c r="U111" s="1"/>
      <c r="V111" s="1"/>
      <c r="W111" s="1"/>
      <c r="X111" s="1"/>
      <c r="Y111" s="1"/>
      <c r="Z111" s="1"/>
      <c r="AA111" s="1"/>
      <c r="AB111" s="1"/>
      <c r="AC111">
        <f t="shared" si="14"/>
        <v>223</v>
      </c>
      <c r="AD111">
        <f t="shared" si="15"/>
        <v>13</v>
      </c>
      <c r="AE111">
        <f t="shared" si="16"/>
        <v>7</v>
      </c>
      <c r="AF111">
        <f t="shared" si="17"/>
        <v>6</v>
      </c>
      <c r="AG111">
        <f t="shared" si="18"/>
        <v>37.166666666666664</v>
      </c>
    </row>
    <row r="112" spans="3:33">
      <c r="C112" t="s">
        <v>201</v>
      </c>
      <c r="D112" s="1">
        <v>0</v>
      </c>
      <c r="E112" s="1">
        <v>0</v>
      </c>
      <c r="F112" s="1">
        <v>30</v>
      </c>
      <c r="G112" s="1">
        <v>0</v>
      </c>
      <c r="H112" s="1">
        <v>39</v>
      </c>
      <c r="I112" s="1">
        <v>32</v>
      </c>
      <c r="J112" s="1">
        <v>30</v>
      </c>
      <c r="K112" s="1">
        <v>0</v>
      </c>
      <c r="L112" s="1">
        <v>33</v>
      </c>
      <c r="M112" s="1">
        <v>31</v>
      </c>
      <c r="N112" s="1">
        <v>36</v>
      </c>
      <c r="O112" s="1"/>
      <c r="P112" s="1"/>
      <c r="Q112" s="1"/>
      <c r="R112" s="1"/>
      <c r="S112" s="1"/>
      <c r="T112" s="1"/>
      <c r="U112" s="1"/>
      <c r="V112" s="1"/>
      <c r="W112" s="1"/>
      <c r="X112" s="1"/>
      <c r="Y112" s="1"/>
      <c r="Z112" s="1"/>
      <c r="AA112" s="1"/>
      <c r="AB112" s="1"/>
      <c r="AC112">
        <f t="shared" ref="AC112:AC115" si="19">SUM(D112:AB112)</f>
        <v>231</v>
      </c>
      <c r="AD112">
        <f t="shared" si="15"/>
        <v>11</v>
      </c>
      <c r="AE112">
        <f t="shared" si="16"/>
        <v>4</v>
      </c>
      <c r="AF112">
        <f t="shared" si="17"/>
        <v>7</v>
      </c>
      <c r="AG112">
        <f t="shared" si="18"/>
        <v>33</v>
      </c>
    </row>
    <row r="113" spans="3:33">
      <c r="C113" t="s">
        <v>202</v>
      </c>
      <c r="D113" s="1">
        <v>0</v>
      </c>
      <c r="E113" s="1">
        <v>30</v>
      </c>
      <c r="F113" s="1">
        <v>32</v>
      </c>
      <c r="G113" s="1">
        <v>38</v>
      </c>
      <c r="H113" s="1">
        <v>0</v>
      </c>
      <c r="I113" s="1">
        <v>0</v>
      </c>
      <c r="J113" s="1">
        <v>0</v>
      </c>
      <c r="K113" s="1">
        <v>0</v>
      </c>
      <c r="L113" s="1">
        <v>0</v>
      </c>
      <c r="M113" s="1">
        <v>0</v>
      </c>
      <c r="N113" s="1">
        <v>36</v>
      </c>
      <c r="O113" s="1">
        <v>36</v>
      </c>
      <c r="P113" s="1">
        <v>31</v>
      </c>
      <c r="Q113" s="1"/>
      <c r="R113" s="1"/>
      <c r="S113" s="1"/>
      <c r="T113" s="1"/>
      <c r="U113" s="1"/>
      <c r="V113" s="1"/>
      <c r="W113" s="1"/>
      <c r="X113" s="1"/>
      <c r="Y113" s="1"/>
      <c r="Z113" s="1"/>
      <c r="AA113" s="1"/>
      <c r="AB113" s="1"/>
      <c r="AC113">
        <f t="shared" si="19"/>
        <v>203</v>
      </c>
      <c r="AD113">
        <f t="shared" si="15"/>
        <v>13</v>
      </c>
      <c r="AE113">
        <f t="shared" si="16"/>
        <v>7</v>
      </c>
      <c r="AF113">
        <f t="shared" si="17"/>
        <v>6</v>
      </c>
      <c r="AG113">
        <f t="shared" si="18"/>
        <v>33.833333333333336</v>
      </c>
    </row>
    <row r="114" spans="3:33">
      <c r="C114" t="s">
        <v>203</v>
      </c>
      <c r="D114" s="1">
        <v>36</v>
      </c>
      <c r="E114" s="1">
        <v>0</v>
      </c>
      <c r="F114" s="1">
        <v>0</v>
      </c>
      <c r="G114" s="1">
        <v>33</v>
      </c>
      <c r="H114" s="1">
        <v>35</v>
      </c>
      <c r="I114" s="1">
        <v>33</v>
      </c>
      <c r="J114" s="1">
        <v>31</v>
      </c>
      <c r="K114" s="1">
        <v>32</v>
      </c>
      <c r="L114" s="1"/>
      <c r="M114" s="1"/>
      <c r="N114" s="1"/>
      <c r="O114" s="1"/>
      <c r="P114" s="1"/>
      <c r="Q114" s="1"/>
      <c r="R114" s="1"/>
      <c r="S114" s="1"/>
      <c r="T114" s="1"/>
      <c r="U114" s="1"/>
      <c r="V114" s="1"/>
      <c r="W114" s="1"/>
      <c r="X114" s="1"/>
      <c r="Y114" s="1"/>
      <c r="Z114" s="1"/>
      <c r="AA114" s="1"/>
      <c r="AB114" s="1"/>
      <c r="AC114">
        <f t="shared" si="19"/>
        <v>200</v>
      </c>
      <c r="AD114">
        <f t="shared" si="15"/>
        <v>8</v>
      </c>
      <c r="AE114">
        <f t="shared" si="16"/>
        <v>2</v>
      </c>
      <c r="AF114">
        <f t="shared" si="17"/>
        <v>6</v>
      </c>
      <c r="AG114">
        <f t="shared" si="18"/>
        <v>33.333333333333336</v>
      </c>
    </row>
    <row r="115" spans="3:33">
      <c r="C115" t="s">
        <v>204</v>
      </c>
      <c r="D115" s="1">
        <v>35</v>
      </c>
      <c r="E115" s="1">
        <v>0</v>
      </c>
      <c r="F115" s="1">
        <v>0</v>
      </c>
      <c r="G115" s="1">
        <v>41</v>
      </c>
      <c r="H115" s="1">
        <v>31</v>
      </c>
      <c r="I115" s="1">
        <v>30</v>
      </c>
      <c r="J115" s="1">
        <v>37</v>
      </c>
      <c r="K115" s="1">
        <v>30</v>
      </c>
      <c r="L115" s="1"/>
      <c r="M115" s="1"/>
      <c r="N115" s="1"/>
      <c r="O115" s="1"/>
      <c r="P115" s="1"/>
      <c r="Q115" s="1"/>
      <c r="R115" s="1"/>
      <c r="S115" s="1"/>
      <c r="T115" s="1"/>
      <c r="U115" s="1"/>
      <c r="V115" s="1"/>
      <c r="W115" s="1"/>
      <c r="X115" s="1"/>
      <c r="Y115" s="1"/>
      <c r="Z115" s="1"/>
      <c r="AA115" s="1"/>
      <c r="AB115" s="1"/>
      <c r="AC115">
        <f t="shared" si="19"/>
        <v>204</v>
      </c>
      <c r="AD115">
        <f t="shared" si="15"/>
        <v>8</v>
      </c>
      <c r="AE115">
        <f t="shared" si="16"/>
        <v>2</v>
      </c>
      <c r="AF115">
        <f t="shared" si="17"/>
        <v>6</v>
      </c>
      <c r="AG115">
        <f t="shared" si="18"/>
        <v>34</v>
      </c>
    </row>
    <row r="116" spans="3:33">
      <c r="AC116" t="s">
        <v>52</v>
      </c>
      <c r="AD116">
        <f>AVERAGE(AD16:AD115)</f>
        <v>10.3</v>
      </c>
      <c r="AE116">
        <f>AVERAGE(AE16:AE115)</f>
        <v>4.07</v>
      </c>
      <c r="AF116">
        <f>AVERAGE(AF16:AF115)</f>
        <v>6.23</v>
      </c>
      <c r="AG116">
        <f>AVERAGE(AG16:AG115)</f>
        <v>34.487333333333332</v>
      </c>
    </row>
  </sheetData>
  <conditionalFormatting sqref="D3:R12">
    <cfRule type="colorScale" priority="4">
      <colorScale>
        <cfvo type="min"/>
        <cfvo type="max"/>
        <color rgb="FFFF7128"/>
        <color theme="9"/>
      </colorScale>
    </cfRule>
    <cfRule type="cellIs" dxfId="14" priority="6" operator="equal">
      <formula>0</formula>
    </cfRule>
  </conditionalFormatting>
  <conditionalFormatting sqref="D16:AB115">
    <cfRule type="colorScale" priority="1">
      <colorScale>
        <cfvo type="min"/>
        <cfvo type="max"/>
        <color rgb="FFFF7128"/>
        <color theme="9"/>
      </colorScale>
    </cfRule>
    <cfRule type="cellIs" dxfId="13" priority="3" operator="equal">
      <formula>0</formula>
    </cfRule>
  </conditionalFormatting>
  <conditionalFormatting sqref="E7">
    <cfRule type="colorScale" priority="5">
      <colorScale>
        <cfvo type="min"/>
        <cfvo type="max"/>
        <color rgb="FFFF7128"/>
        <color theme="9"/>
      </colorScale>
    </cfRule>
  </conditionalFormatting>
  <conditionalFormatting sqref="E20 T20 X20 AB20 E30 E40 E50 E60 E70 E80 E90 E100 E110 T30 T40 T50 T60 T70 T80 T90 T100 T110 X30 X40 X50 X60 X70 X80 X90 X100 X110 AB30 AB40 AB50 AB60 AB70 AB80 AB90 AB100 AB110">
    <cfRule type="colorScale" priority="2">
      <colorScale>
        <cfvo type="min"/>
        <cfvo type="max"/>
        <color rgb="FFFF7128"/>
        <color theme="9"/>
      </colorScale>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13226-594A-4969-9983-EE761CD7AEEA}">
  <dimension ref="B2:AB13"/>
  <sheetViews>
    <sheetView topLeftCell="K1" workbookViewId="0">
      <selection activeCell="Y9" sqref="Y9"/>
    </sheetView>
  </sheetViews>
  <sheetFormatPr defaultRowHeight="15"/>
  <cols>
    <col min="2" max="2" width="21.85546875" bestFit="1" customWidth="1"/>
  </cols>
  <sheetData>
    <row r="2" spans="2:28">
      <c r="B2" t="s">
        <v>61</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36</v>
      </c>
      <c r="E3" s="1">
        <v>38</v>
      </c>
      <c r="F3" s="1">
        <v>0</v>
      </c>
      <c r="G3" s="1">
        <v>44</v>
      </c>
      <c r="H3" s="1">
        <v>0</v>
      </c>
      <c r="I3" s="1">
        <v>42</v>
      </c>
      <c r="J3" s="1">
        <v>0</v>
      </c>
      <c r="K3" s="1">
        <v>37</v>
      </c>
      <c r="L3" s="1">
        <v>37</v>
      </c>
      <c r="M3" s="1"/>
      <c r="N3" s="1"/>
      <c r="O3" s="1"/>
      <c r="P3" s="1"/>
      <c r="Q3" s="1"/>
      <c r="R3" s="1"/>
      <c r="S3" s="1"/>
      <c r="T3" s="1"/>
      <c r="U3" s="1"/>
      <c r="V3" s="1"/>
      <c r="W3" s="1"/>
      <c r="X3">
        <f>SUM(D3:W3)</f>
        <v>234</v>
      </c>
      <c r="Y3">
        <f>COUNT(D3:W3)</f>
        <v>9</v>
      </c>
      <c r="Z3">
        <f>COUNTIF(D3:W3,0)</f>
        <v>3</v>
      </c>
      <c r="AA3">
        <f>Y3-Z3</f>
        <v>6</v>
      </c>
      <c r="AB3">
        <f>X3/AA3</f>
        <v>39</v>
      </c>
    </row>
    <row r="4" spans="2:28">
      <c r="C4" t="s">
        <v>31</v>
      </c>
      <c r="D4" s="1">
        <v>0</v>
      </c>
      <c r="E4" s="1">
        <v>62</v>
      </c>
      <c r="F4" s="1">
        <v>0</v>
      </c>
      <c r="G4" s="1">
        <v>0</v>
      </c>
      <c r="H4" s="1">
        <v>0</v>
      </c>
      <c r="I4" s="1">
        <v>0</v>
      </c>
      <c r="J4" s="1">
        <v>37</v>
      </c>
      <c r="K4" s="1">
        <v>37</v>
      </c>
      <c r="L4" s="1">
        <v>38</v>
      </c>
      <c r="M4" s="1">
        <v>0</v>
      </c>
      <c r="N4" s="1">
        <v>43</v>
      </c>
      <c r="O4" s="1"/>
      <c r="P4" s="1"/>
      <c r="Q4" s="1"/>
      <c r="R4" s="1"/>
      <c r="S4" s="1"/>
      <c r="T4" s="1"/>
      <c r="U4" s="1"/>
      <c r="V4" s="1"/>
      <c r="W4" s="1"/>
      <c r="X4">
        <f t="shared" ref="X4:X12" si="0">SUM(D4:W4)</f>
        <v>217</v>
      </c>
      <c r="Y4">
        <f t="shared" ref="Y4:Y12" si="1">COUNT(D4:W4)</f>
        <v>11</v>
      </c>
      <c r="Z4">
        <f t="shared" ref="Z4:Z12" si="2">COUNTIF(D4:W4,0)</f>
        <v>6</v>
      </c>
      <c r="AA4">
        <f t="shared" ref="AA4:AA12" si="3">Y4-Z4</f>
        <v>5</v>
      </c>
      <c r="AB4">
        <f t="shared" ref="AB4:AB12" si="4">X4/AA4</f>
        <v>43.4</v>
      </c>
    </row>
    <row r="5" spans="2:28">
      <c r="C5" t="s">
        <v>32</v>
      </c>
      <c r="D5" s="1">
        <v>38</v>
      </c>
      <c r="E5" s="1">
        <v>0</v>
      </c>
      <c r="F5" s="1">
        <v>0</v>
      </c>
      <c r="G5" s="1">
        <v>0</v>
      </c>
      <c r="H5" s="1">
        <v>40</v>
      </c>
      <c r="I5" s="1">
        <v>0</v>
      </c>
      <c r="J5" s="1">
        <v>0</v>
      </c>
      <c r="K5" s="1">
        <v>0</v>
      </c>
      <c r="L5" s="1">
        <v>43</v>
      </c>
      <c r="M5" s="1">
        <v>42</v>
      </c>
      <c r="N5" s="1">
        <v>38</v>
      </c>
      <c r="O5" s="1"/>
      <c r="P5" s="1"/>
      <c r="Q5" s="1"/>
      <c r="R5" s="1"/>
      <c r="S5" s="1"/>
      <c r="T5" s="1"/>
      <c r="U5" s="1"/>
      <c r="V5" s="1"/>
      <c r="W5" s="1"/>
      <c r="X5">
        <f t="shared" si="0"/>
        <v>201</v>
      </c>
      <c r="Y5">
        <f t="shared" si="1"/>
        <v>11</v>
      </c>
      <c r="Z5">
        <f t="shared" si="2"/>
        <v>6</v>
      </c>
      <c r="AA5">
        <f t="shared" si="3"/>
        <v>5</v>
      </c>
      <c r="AB5">
        <f t="shared" si="4"/>
        <v>40.200000000000003</v>
      </c>
    </row>
    <row r="6" spans="2:28">
      <c r="C6" t="s">
        <v>33</v>
      </c>
      <c r="D6" s="1">
        <v>0</v>
      </c>
      <c r="E6" s="1">
        <v>0</v>
      </c>
      <c r="F6" s="1">
        <v>0</v>
      </c>
      <c r="G6" s="1">
        <v>0</v>
      </c>
      <c r="H6" s="1">
        <v>0</v>
      </c>
      <c r="I6" s="1">
        <v>57</v>
      </c>
      <c r="J6" s="1">
        <v>0</v>
      </c>
      <c r="K6" s="1">
        <v>0</v>
      </c>
      <c r="L6" s="1">
        <v>0</v>
      </c>
      <c r="M6" s="1">
        <v>40</v>
      </c>
      <c r="N6" s="1">
        <v>0</v>
      </c>
      <c r="O6" s="1">
        <v>38</v>
      </c>
      <c r="P6" s="1">
        <v>0</v>
      </c>
      <c r="Q6" s="1">
        <v>43</v>
      </c>
      <c r="R6" s="1">
        <v>42</v>
      </c>
      <c r="S6" s="1"/>
      <c r="T6" s="1"/>
      <c r="U6" s="1"/>
      <c r="V6" s="1"/>
      <c r="W6" s="1"/>
      <c r="X6">
        <f t="shared" si="0"/>
        <v>220</v>
      </c>
      <c r="Y6">
        <f t="shared" si="1"/>
        <v>15</v>
      </c>
      <c r="Z6">
        <f t="shared" si="2"/>
        <v>10</v>
      </c>
      <c r="AA6">
        <f t="shared" si="3"/>
        <v>5</v>
      </c>
      <c r="AB6">
        <f t="shared" si="4"/>
        <v>44</v>
      </c>
    </row>
    <row r="7" spans="2:28">
      <c r="C7" t="s">
        <v>34</v>
      </c>
      <c r="D7" s="1">
        <v>0</v>
      </c>
      <c r="E7" s="1">
        <v>36</v>
      </c>
      <c r="F7" s="1">
        <v>0</v>
      </c>
      <c r="G7" s="1">
        <v>0</v>
      </c>
      <c r="H7" s="1">
        <v>0</v>
      </c>
      <c r="I7" s="1">
        <v>40</v>
      </c>
      <c r="J7" s="1">
        <v>0</v>
      </c>
      <c r="K7" s="1">
        <v>0</v>
      </c>
      <c r="L7" s="1">
        <v>35</v>
      </c>
      <c r="M7" s="1">
        <v>39</v>
      </c>
      <c r="N7" s="1">
        <v>36</v>
      </c>
      <c r="O7" s="1">
        <v>42</v>
      </c>
      <c r="P7" s="1"/>
      <c r="Q7" s="1"/>
      <c r="R7" s="1"/>
      <c r="S7" s="1"/>
      <c r="T7" s="1"/>
      <c r="U7" s="1"/>
      <c r="V7" s="1"/>
      <c r="W7" s="1"/>
      <c r="X7">
        <f t="shared" si="0"/>
        <v>228</v>
      </c>
      <c r="Y7">
        <f t="shared" si="1"/>
        <v>12</v>
      </c>
      <c r="Z7">
        <f t="shared" si="2"/>
        <v>6</v>
      </c>
      <c r="AA7">
        <f t="shared" si="3"/>
        <v>6</v>
      </c>
      <c r="AB7">
        <f t="shared" si="4"/>
        <v>38</v>
      </c>
    </row>
    <row r="8" spans="2:28">
      <c r="C8" t="s">
        <v>35</v>
      </c>
      <c r="D8" s="1">
        <v>38</v>
      </c>
      <c r="E8" s="1">
        <v>43</v>
      </c>
      <c r="F8" s="1">
        <v>0</v>
      </c>
      <c r="G8" s="1">
        <v>0</v>
      </c>
      <c r="H8" s="1">
        <v>39</v>
      </c>
      <c r="I8" s="1">
        <v>42</v>
      </c>
      <c r="J8" s="1">
        <v>0</v>
      </c>
      <c r="K8" s="1">
        <v>0</v>
      </c>
      <c r="L8" s="1">
        <v>38</v>
      </c>
      <c r="M8" s="1"/>
      <c r="N8" s="1"/>
      <c r="O8" s="1"/>
      <c r="P8" s="1"/>
      <c r="Q8" s="1"/>
      <c r="R8" s="1"/>
      <c r="S8" s="1"/>
      <c r="T8" s="1"/>
      <c r="U8" s="1"/>
      <c r="V8" s="1"/>
      <c r="W8" s="1"/>
      <c r="X8">
        <f t="shared" si="0"/>
        <v>200</v>
      </c>
      <c r="Y8">
        <f t="shared" si="1"/>
        <v>9</v>
      </c>
      <c r="Z8">
        <f t="shared" si="2"/>
        <v>4</v>
      </c>
      <c r="AA8">
        <f t="shared" si="3"/>
        <v>5</v>
      </c>
      <c r="AB8">
        <f t="shared" si="4"/>
        <v>40</v>
      </c>
    </row>
    <row r="9" spans="2:28">
      <c r="C9" t="s">
        <v>36</v>
      </c>
      <c r="D9" s="1">
        <v>0</v>
      </c>
      <c r="E9" s="1">
        <v>0</v>
      </c>
      <c r="F9" s="1">
        <v>39</v>
      </c>
      <c r="G9" s="1">
        <v>0</v>
      </c>
      <c r="H9" s="1">
        <v>44</v>
      </c>
      <c r="I9" s="1">
        <v>0</v>
      </c>
      <c r="J9" s="1">
        <v>0</v>
      </c>
      <c r="K9" s="1">
        <v>0</v>
      </c>
      <c r="L9" s="1">
        <v>0</v>
      </c>
      <c r="M9" s="1">
        <v>0</v>
      </c>
      <c r="N9" s="1">
        <v>36</v>
      </c>
      <c r="O9" s="1">
        <v>0</v>
      </c>
      <c r="P9" s="1">
        <v>0</v>
      </c>
      <c r="Q9" s="1">
        <v>0</v>
      </c>
      <c r="R9" s="1">
        <v>0</v>
      </c>
      <c r="S9" s="1">
        <v>0</v>
      </c>
      <c r="T9" s="1">
        <v>0</v>
      </c>
      <c r="U9" s="1">
        <v>45</v>
      </c>
      <c r="V9" s="1">
        <v>39</v>
      </c>
      <c r="W9" s="1"/>
      <c r="X9">
        <f t="shared" si="0"/>
        <v>203</v>
      </c>
      <c r="Y9">
        <f t="shared" si="1"/>
        <v>19</v>
      </c>
      <c r="Z9">
        <f t="shared" si="2"/>
        <v>14</v>
      </c>
      <c r="AA9">
        <f t="shared" si="3"/>
        <v>5</v>
      </c>
      <c r="AB9">
        <f t="shared" si="4"/>
        <v>40.6</v>
      </c>
    </row>
    <row r="10" spans="2:28">
      <c r="C10" t="s">
        <v>37</v>
      </c>
      <c r="D10" s="1">
        <v>36</v>
      </c>
      <c r="E10" s="1">
        <v>44</v>
      </c>
      <c r="F10" s="1">
        <v>0</v>
      </c>
      <c r="G10" s="1">
        <v>42</v>
      </c>
      <c r="H10" s="1">
        <v>35</v>
      </c>
      <c r="I10" s="1">
        <v>45</v>
      </c>
      <c r="J10" s="1"/>
      <c r="K10" s="1"/>
      <c r="L10" s="1"/>
      <c r="M10" s="1"/>
      <c r="N10" s="1"/>
      <c r="O10" s="1"/>
      <c r="P10" s="1"/>
      <c r="Q10" s="1"/>
      <c r="R10" s="1"/>
      <c r="S10" s="1"/>
      <c r="T10" s="1"/>
      <c r="U10" s="1"/>
      <c r="V10" s="1"/>
      <c r="W10" s="1"/>
      <c r="X10">
        <f t="shared" si="0"/>
        <v>202</v>
      </c>
      <c r="Y10">
        <f t="shared" si="1"/>
        <v>6</v>
      </c>
      <c r="Z10">
        <f t="shared" si="2"/>
        <v>1</v>
      </c>
      <c r="AA10">
        <f t="shared" si="3"/>
        <v>5</v>
      </c>
      <c r="AB10">
        <f t="shared" si="4"/>
        <v>40.4</v>
      </c>
    </row>
    <row r="11" spans="2:28">
      <c r="C11" t="s">
        <v>38</v>
      </c>
      <c r="D11" s="1">
        <v>45</v>
      </c>
      <c r="E11" s="1">
        <v>0</v>
      </c>
      <c r="F11" s="1">
        <v>0</v>
      </c>
      <c r="G11" s="1">
        <v>36</v>
      </c>
      <c r="H11" s="1">
        <v>0</v>
      </c>
      <c r="I11" s="1">
        <v>37</v>
      </c>
      <c r="J11" s="1">
        <v>0</v>
      </c>
      <c r="K11" s="1">
        <v>0</v>
      </c>
      <c r="L11" s="1">
        <v>35</v>
      </c>
      <c r="M11" s="1">
        <v>36</v>
      </c>
      <c r="N11" s="1">
        <v>0</v>
      </c>
      <c r="O11" s="1">
        <v>41</v>
      </c>
      <c r="P11" s="1"/>
      <c r="Q11" s="1"/>
      <c r="R11" s="1"/>
      <c r="S11" s="1"/>
      <c r="T11" s="1"/>
      <c r="U11" s="1"/>
      <c r="V11" s="1"/>
      <c r="W11" s="1"/>
      <c r="X11">
        <f t="shared" si="0"/>
        <v>230</v>
      </c>
      <c r="Y11">
        <f t="shared" si="1"/>
        <v>12</v>
      </c>
      <c r="Z11">
        <f t="shared" si="2"/>
        <v>6</v>
      </c>
      <c r="AA11">
        <f t="shared" si="3"/>
        <v>6</v>
      </c>
      <c r="AB11">
        <f t="shared" si="4"/>
        <v>38.333333333333336</v>
      </c>
    </row>
    <row r="12" spans="2:28">
      <c r="C12" t="s">
        <v>39</v>
      </c>
      <c r="D12" s="1">
        <v>0</v>
      </c>
      <c r="E12" s="1">
        <v>0</v>
      </c>
      <c r="F12" s="1">
        <v>45</v>
      </c>
      <c r="G12" s="1">
        <v>0</v>
      </c>
      <c r="H12" s="1">
        <v>0</v>
      </c>
      <c r="I12" s="1">
        <v>0</v>
      </c>
      <c r="J12" s="1">
        <v>38</v>
      </c>
      <c r="K12" s="1">
        <v>35</v>
      </c>
      <c r="L12" s="1">
        <v>0</v>
      </c>
      <c r="M12" s="1">
        <v>0</v>
      </c>
      <c r="N12" s="1">
        <v>37</v>
      </c>
      <c r="O12" s="1">
        <v>43</v>
      </c>
      <c r="P12" s="1">
        <v>38</v>
      </c>
      <c r="Q12" s="1"/>
      <c r="R12" s="1"/>
      <c r="S12" s="1"/>
      <c r="T12" s="1"/>
      <c r="U12" s="1"/>
      <c r="V12" s="1"/>
      <c r="W12" s="1"/>
      <c r="X12">
        <f t="shared" si="0"/>
        <v>236</v>
      </c>
      <c r="Y12">
        <f t="shared" si="1"/>
        <v>13</v>
      </c>
      <c r="Z12">
        <f t="shared" si="2"/>
        <v>7</v>
      </c>
      <c r="AA12">
        <f t="shared" si="3"/>
        <v>6</v>
      </c>
      <c r="AB12">
        <f t="shared" si="4"/>
        <v>39.333333333333336</v>
      </c>
    </row>
    <row r="13" spans="2:28">
      <c r="X13" t="s">
        <v>52</v>
      </c>
      <c r="Y13">
        <f>AVERAGE(Y3:Y12)</f>
        <v>11.7</v>
      </c>
      <c r="Z13">
        <f t="shared" ref="Z13:AB13" si="5">AVERAGE(Z3:Z12)</f>
        <v>6.3</v>
      </c>
      <c r="AA13">
        <f t="shared" si="5"/>
        <v>5.4</v>
      </c>
      <c r="AB13">
        <f t="shared" si="5"/>
        <v>40.326666666666668</v>
      </c>
    </row>
  </sheetData>
  <phoneticPr fontId="3" type="noConversion"/>
  <conditionalFormatting sqref="D3:W12">
    <cfRule type="colorScale" priority="1">
      <colorScale>
        <cfvo type="min"/>
        <cfvo type="max"/>
        <color rgb="FFFF7128"/>
        <color theme="9"/>
      </colorScale>
    </cfRule>
    <cfRule type="cellIs" dxfId="12"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09A2DB-4319-4F68-9A32-4D2450524F9C}">
  <dimension ref="B2:AL13"/>
  <sheetViews>
    <sheetView topLeftCell="AC1" workbookViewId="0">
      <selection activeCell="AJ13" sqref="AJ13"/>
    </sheetView>
  </sheetViews>
  <sheetFormatPr defaultRowHeight="15"/>
  <cols>
    <col min="2" max="2" width="21.85546875" bestFit="1" customWidth="1"/>
  </cols>
  <sheetData>
    <row r="2" spans="2:38">
      <c r="B2" t="s">
        <v>62</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80</v>
      </c>
      <c r="Y2" t="s">
        <v>81</v>
      </c>
      <c r="Z2" t="s">
        <v>82</v>
      </c>
      <c r="AA2" t="s">
        <v>83</v>
      </c>
      <c r="AB2" t="s">
        <v>84</v>
      </c>
      <c r="AC2" t="s">
        <v>85</v>
      </c>
      <c r="AD2" t="s">
        <v>86</v>
      </c>
      <c r="AE2" t="s">
        <v>87</v>
      </c>
      <c r="AF2" t="s">
        <v>88</v>
      </c>
      <c r="AG2" t="s">
        <v>89</v>
      </c>
      <c r="AH2" t="s">
        <v>50</v>
      </c>
      <c r="AI2" t="s">
        <v>49</v>
      </c>
      <c r="AJ2" t="s">
        <v>48</v>
      </c>
      <c r="AK2" t="s">
        <v>51</v>
      </c>
      <c r="AL2" t="s">
        <v>77</v>
      </c>
    </row>
    <row r="3" spans="2:38">
      <c r="C3" t="s">
        <v>18</v>
      </c>
      <c r="D3" s="1">
        <v>0</v>
      </c>
      <c r="E3" s="1">
        <v>0</v>
      </c>
      <c r="F3" s="1">
        <v>0</v>
      </c>
      <c r="G3" s="1">
        <v>0</v>
      </c>
      <c r="H3" s="1">
        <v>40</v>
      </c>
      <c r="I3" s="1">
        <v>0</v>
      </c>
      <c r="J3" s="1">
        <v>0</v>
      </c>
      <c r="K3" s="1">
        <v>0</v>
      </c>
      <c r="L3" s="1">
        <v>47</v>
      </c>
      <c r="M3" s="1">
        <v>0</v>
      </c>
      <c r="N3" s="1">
        <v>0</v>
      </c>
      <c r="O3" s="1">
        <v>0</v>
      </c>
      <c r="P3" s="1">
        <v>0</v>
      </c>
      <c r="Q3" s="1">
        <v>40</v>
      </c>
      <c r="R3" s="1">
        <v>45</v>
      </c>
      <c r="S3" s="1">
        <v>0</v>
      </c>
      <c r="T3" s="1">
        <v>43</v>
      </c>
      <c r="U3" s="1"/>
      <c r="V3" s="1"/>
      <c r="W3" s="1"/>
      <c r="X3" s="1"/>
      <c r="Y3" s="1"/>
      <c r="Z3" s="1"/>
      <c r="AA3" s="1"/>
      <c r="AB3" s="1"/>
      <c r="AC3" s="1"/>
      <c r="AD3" s="1"/>
      <c r="AE3" s="1"/>
      <c r="AF3" s="1"/>
      <c r="AG3" s="1"/>
      <c r="AH3">
        <f>SUM(D3:AG3)</f>
        <v>215</v>
      </c>
      <c r="AI3">
        <f>COUNT(D3:AG3)</f>
        <v>17</v>
      </c>
      <c r="AJ3">
        <f>COUNTIF(D3:AG3,0)</f>
        <v>12</v>
      </c>
      <c r="AK3">
        <f>AI3-AJ3</f>
        <v>5</v>
      </c>
      <c r="AL3">
        <f>AH3/AK3</f>
        <v>43</v>
      </c>
    </row>
    <row r="4" spans="2:38">
      <c r="C4" t="s">
        <v>31</v>
      </c>
      <c r="D4" s="1">
        <v>0</v>
      </c>
      <c r="E4" s="1">
        <v>0</v>
      </c>
      <c r="F4" s="1">
        <v>42</v>
      </c>
      <c r="G4" s="1">
        <v>0</v>
      </c>
      <c r="H4" s="1">
        <v>0</v>
      </c>
      <c r="I4" s="1">
        <v>40</v>
      </c>
      <c r="J4" s="1">
        <v>52</v>
      </c>
      <c r="K4" s="1">
        <v>0</v>
      </c>
      <c r="L4" s="1">
        <v>40</v>
      </c>
      <c r="M4" s="1">
        <v>44</v>
      </c>
      <c r="N4" s="1"/>
      <c r="O4" s="1"/>
      <c r="P4" s="1"/>
      <c r="Q4" s="1"/>
      <c r="R4" s="1"/>
      <c r="S4" s="1"/>
      <c r="T4" s="1"/>
      <c r="U4" s="1"/>
      <c r="V4" s="1"/>
      <c r="W4" s="1"/>
      <c r="X4" s="1"/>
      <c r="Y4" s="1"/>
      <c r="Z4" s="1"/>
      <c r="AA4" s="1"/>
      <c r="AB4" s="1"/>
      <c r="AC4" s="1"/>
      <c r="AD4" s="1"/>
      <c r="AE4" s="1"/>
      <c r="AF4" s="1"/>
      <c r="AG4" s="1"/>
      <c r="AH4">
        <f t="shared" ref="AH4:AH12" si="0">SUM(D4:AG4)</f>
        <v>218</v>
      </c>
      <c r="AI4">
        <f t="shared" ref="AI4:AI12" si="1">COUNT(D4:AG4)</f>
        <v>10</v>
      </c>
      <c r="AJ4">
        <f t="shared" ref="AJ4:AJ12" si="2">COUNTIF(D4:AG4,0)</f>
        <v>5</v>
      </c>
      <c r="AK4">
        <f t="shared" ref="AK4:AK12" si="3">AI4-AJ4</f>
        <v>5</v>
      </c>
      <c r="AL4">
        <f t="shared" ref="AL4:AL12" si="4">AH4/AK4</f>
        <v>43.6</v>
      </c>
    </row>
    <row r="5" spans="2:38">
      <c r="C5" t="s">
        <v>32</v>
      </c>
      <c r="D5" s="1">
        <v>0</v>
      </c>
      <c r="E5" s="1">
        <v>0</v>
      </c>
      <c r="F5" s="1">
        <v>49</v>
      </c>
      <c r="G5" s="1">
        <v>43</v>
      </c>
      <c r="H5" s="1">
        <v>41</v>
      </c>
      <c r="I5" s="1">
        <v>0</v>
      </c>
      <c r="J5" s="1">
        <v>0</v>
      </c>
      <c r="K5" s="1">
        <v>0</v>
      </c>
      <c r="L5" s="1">
        <v>0</v>
      </c>
      <c r="M5" s="1">
        <v>0</v>
      </c>
      <c r="N5" s="1">
        <v>47</v>
      </c>
      <c r="O5" s="1">
        <v>0</v>
      </c>
      <c r="P5" s="1">
        <v>0</v>
      </c>
      <c r="Q5" s="1">
        <v>42</v>
      </c>
      <c r="R5" s="1"/>
      <c r="S5" s="1"/>
      <c r="T5" s="1"/>
      <c r="U5" s="1"/>
      <c r="V5" s="1"/>
      <c r="W5" s="1"/>
      <c r="X5" s="1"/>
      <c r="Y5" s="1"/>
      <c r="Z5" s="1"/>
      <c r="AA5" s="1"/>
      <c r="AB5" s="1"/>
      <c r="AC5" s="1"/>
      <c r="AD5" s="1"/>
      <c r="AE5" s="1"/>
      <c r="AF5" s="1"/>
      <c r="AG5" s="1"/>
      <c r="AH5">
        <f t="shared" si="0"/>
        <v>222</v>
      </c>
      <c r="AI5">
        <f t="shared" si="1"/>
        <v>14</v>
      </c>
      <c r="AJ5">
        <f t="shared" si="2"/>
        <v>9</v>
      </c>
      <c r="AK5">
        <f t="shared" si="3"/>
        <v>5</v>
      </c>
      <c r="AL5">
        <f t="shared" si="4"/>
        <v>44.4</v>
      </c>
    </row>
    <row r="6" spans="2:38">
      <c r="C6" t="s">
        <v>33</v>
      </c>
      <c r="D6" s="1">
        <v>45</v>
      </c>
      <c r="E6" s="1">
        <v>0</v>
      </c>
      <c r="F6" s="1">
        <v>46</v>
      </c>
      <c r="G6" s="1">
        <v>49</v>
      </c>
      <c r="H6" s="1">
        <v>0</v>
      </c>
      <c r="I6" s="1">
        <v>0</v>
      </c>
      <c r="J6" s="1">
        <v>43</v>
      </c>
      <c r="K6" s="1">
        <v>0</v>
      </c>
      <c r="L6" s="1">
        <v>0</v>
      </c>
      <c r="M6" s="1">
        <v>43</v>
      </c>
      <c r="N6" s="1"/>
      <c r="O6" s="1"/>
      <c r="P6" s="1"/>
      <c r="Q6" s="1"/>
      <c r="R6" s="1"/>
      <c r="S6" s="1"/>
      <c r="T6" s="1"/>
      <c r="U6" s="1"/>
      <c r="V6" s="1"/>
      <c r="W6" s="1"/>
      <c r="X6" s="1"/>
      <c r="Y6" s="1"/>
      <c r="Z6" s="1"/>
      <c r="AA6" s="1"/>
      <c r="AB6" s="1"/>
      <c r="AC6" s="1"/>
      <c r="AD6" s="1"/>
      <c r="AE6" s="1"/>
      <c r="AF6" s="1"/>
      <c r="AG6" s="1"/>
      <c r="AH6">
        <f t="shared" si="0"/>
        <v>226</v>
      </c>
      <c r="AI6">
        <f t="shared" si="1"/>
        <v>10</v>
      </c>
      <c r="AJ6">
        <f t="shared" si="2"/>
        <v>5</v>
      </c>
      <c r="AK6">
        <f t="shared" si="3"/>
        <v>5</v>
      </c>
      <c r="AL6">
        <f t="shared" si="4"/>
        <v>45.2</v>
      </c>
    </row>
    <row r="7" spans="2:38">
      <c r="C7" t="s">
        <v>34</v>
      </c>
      <c r="D7" s="1">
        <v>0</v>
      </c>
      <c r="E7" s="1">
        <v>40</v>
      </c>
      <c r="F7" s="1">
        <v>41</v>
      </c>
      <c r="G7" s="1">
        <v>0</v>
      </c>
      <c r="H7" s="1">
        <v>0</v>
      </c>
      <c r="I7" s="1">
        <v>0</v>
      </c>
      <c r="J7" s="1">
        <v>0</v>
      </c>
      <c r="K7" s="1">
        <v>45</v>
      </c>
      <c r="L7" s="1">
        <v>0</v>
      </c>
      <c r="M7" s="1">
        <v>0</v>
      </c>
      <c r="N7" s="1">
        <v>46</v>
      </c>
      <c r="O7" s="1">
        <v>40</v>
      </c>
      <c r="P7" s="1"/>
      <c r="Q7" s="1"/>
      <c r="R7" s="1"/>
      <c r="S7" s="1"/>
      <c r="T7" s="1"/>
      <c r="U7" s="1"/>
      <c r="V7" s="1"/>
      <c r="W7" s="1"/>
      <c r="X7" s="1"/>
      <c r="Y7" s="1"/>
      <c r="Z7" s="1"/>
      <c r="AA7" s="1"/>
      <c r="AB7" s="1"/>
      <c r="AC7" s="1"/>
      <c r="AD7" s="1"/>
      <c r="AE7" s="1"/>
      <c r="AF7" s="1"/>
      <c r="AG7" s="1"/>
      <c r="AH7">
        <f t="shared" si="0"/>
        <v>212</v>
      </c>
      <c r="AI7">
        <f t="shared" si="1"/>
        <v>12</v>
      </c>
      <c r="AJ7">
        <f t="shared" si="2"/>
        <v>7</v>
      </c>
      <c r="AK7">
        <f t="shared" si="3"/>
        <v>5</v>
      </c>
      <c r="AL7">
        <f t="shared" si="4"/>
        <v>42.4</v>
      </c>
    </row>
    <row r="8" spans="2:38">
      <c r="C8" t="s">
        <v>35</v>
      </c>
      <c r="D8" s="1">
        <v>0</v>
      </c>
      <c r="E8" s="1">
        <v>46</v>
      </c>
      <c r="F8" s="1">
        <v>44</v>
      </c>
      <c r="G8" s="1">
        <v>47</v>
      </c>
      <c r="H8" s="1">
        <v>47</v>
      </c>
      <c r="I8" s="1">
        <v>0</v>
      </c>
      <c r="J8" s="1">
        <v>48</v>
      </c>
      <c r="K8" s="1"/>
      <c r="L8" s="1"/>
      <c r="M8" s="1"/>
      <c r="N8" s="1"/>
      <c r="O8" s="1"/>
      <c r="P8" s="1"/>
      <c r="Q8" s="1"/>
      <c r="R8" s="1"/>
      <c r="S8" s="1"/>
      <c r="T8" s="1"/>
      <c r="U8" s="1"/>
      <c r="V8" s="1"/>
      <c r="W8" s="1"/>
      <c r="X8" s="1"/>
      <c r="Y8" s="1"/>
      <c r="Z8" s="1"/>
      <c r="AA8" s="1"/>
      <c r="AB8" s="1"/>
      <c r="AC8" s="1"/>
      <c r="AD8" s="1"/>
      <c r="AE8" s="1"/>
      <c r="AF8" s="1"/>
      <c r="AG8" s="1"/>
      <c r="AH8">
        <f t="shared" si="0"/>
        <v>232</v>
      </c>
      <c r="AI8">
        <f t="shared" si="1"/>
        <v>7</v>
      </c>
      <c r="AJ8">
        <f t="shared" si="2"/>
        <v>2</v>
      </c>
      <c r="AK8">
        <f t="shared" si="3"/>
        <v>5</v>
      </c>
      <c r="AL8">
        <f t="shared" si="4"/>
        <v>46.4</v>
      </c>
    </row>
    <row r="9" spans="2:38">
      <c r="C9" t="s">
        <v>36</v>
      </c>
      <c r="D9" s="1">
        <v>0</v>
      </c>
      <c r="E9" s="1">
        <v>45</v>
      </c>
      <c r="F9" s="1">
        <v>47</v>
      </c>
      <c r="G9" s="1">
        <v>49</v>
      </c>
      <c r="H9" s="1">
        <v>0</v>
      </c>
      <c r="I9" s="1">
        <v>0</v>
      </c>
      <c r="J9" s="1">
        <v>46</v>
      </c>
      <c r="K9" s="1">
        <v>46</v>
      </c>
      <c r="L9" s="1"/>
      <c r="M9" s="1"/>
      <c r="N9" s="1"/>
      <c r="O9" s="1"/>
      <c r="P9" s="1"/>
      <c r="Q9" s="1"/>
      <c r="R9" s="1"/>
      <c r="S9" s="1"/>
      <c r="T9" s="1"/>
      <c r="U9" s="1"/>
      <c r="V9" s="1"/>
      <c r="W9" s="1"/>
      <c r="X9" s="1"/>
      <c r="Y9" s="1"/>
      <c r="Z9" s="1"/>
      <c r="AA9" s="1"/>
      <c r="AB9" s="1"/>
      <c r="AC9" s="1"/>
      <c r="AD9" s="1"/>
      <c r="AE9" s="1"/>
      <c r="AF9" s="1"/>
      <c r="AG9" s="1"/>
      <c r="AH9">
        <f t="shared" si="0"/>
        <v>233</v>
      </c>
      <c r="AI9">
        <f t="shared" si="1"/>
        <v>8</v>
      </c>
      <c r="AJ9">
        <f t="shared" si="2"/>
        <v>3</v>
      </c>
      <c r="AK9">
        <f t="shared" si="3"/>
        <v>5</v>
      </c>
      <c r="AL9">
        <f t="shared" si="4"/>
        <v>46.6</v>
      </c>
    </row>
    <row r="10" spans="2:38">
      <c r="C10" t="s">
        <v>37</v>
      </c>
      <c r="D10" s="1">
        <v>0</v>
      </c>
      <c r="E10" s="1">
        <v>0</v>
      </c>
      <c r="F10" s="1">
        <v>40</v>
      </c>
      <c r="G10" s="1">
        <v>43</v>
      </c>
      <c r="H10" s="1">
        <v>48</v>
      </c>
      <c r="I10" s="1">
        <v>46</v>
      </c>
      <c r="J10" s="1">
        <v>40</v>
      </c>
      <c r="K10" s="1"/>
      <c r="L10" s="1"/>
      <c r="M10" s="1"/>
      <c r="N10" s="1"/>
      <c r="O10" s="1"/>
      <c r="P10" s="1"/>
      <c r="Q10" s="1"/>
      <c r="R10" s="1"/>
      <c r="S10" s="1"/>
      <c r="T10" s="1"/>
      <c r="U10" s="1"/>
      <c r="V10" s="1"/>
      <c r="W10" s="1"/>
      <c r="X10" s="1"/>
      <c r="Y10" s="1"/>
      <c r="Z10" s="1"/>
      <c r="AA10" s="1"/>
      <c r="AB10" s="1"/>
      <c r="AC10" s="1"/>
      <c r="AD10" s="1"/>
      <c r="AE10" s="1"/>
      <c r="AF10" s="1"/>
      <c r="AG10" s="1"/>
      <c r="AH10">
        <f t="shared" si="0"/>
        <v>217</v>
      </c>
      <c r="AI10">
        <f t="shared" si="1"/>
        <v>7</v>
      </c>
      <c r="AJ10">
        <f t="shared" si="2"/>
        <v>2</v>
      </c>
      <c r="AK10">
        <f t="shared" si="3"/>
        <v>5</v>
      </c>
      <c r="AL10">
        <f t="shared" si="4"/>
        <v>43.4</v>
      </c>
    </row>
    <row r="11" spans="2:38">
      <c r="C11" t="s">
        <v>38</v>
      </c>
      <c r="D11" s="1">
        <v>0</v>
      </c>
      <c r="E11" s="1">
        <v>0</v>
      </c>
      <c r="F11" s="1">
        <v>0</v>
      </c>
      <c r="G11" s="1">
        <v>40</v>
      </c>
      <c r="H11" s="1">
        <v>0</v>
      </c>
      <c r="I11" s="1">
        <v>0</v>
      </c>
      <c r="J11" s="1">
        <v>0</v>
      </c>
      <c r="K11" s="1">
        <v>42</v>
      </c>
      <c r="L11" s="1">
        <v>0</v>
      </c>
      <c r="M11" s="1">
        <v>0</v>
      </c>
      <c r="N11" s="1">
        <v>0</v>
      </c>
      <c r="O11" s="1">
        <v>0</v>
      </c>
      <c r="P11" s="1">
        <v>43</v>
      </c>
      <c r="Q11" s="1">
        <v>0</v>
      </c>
      <c r="R11" s="1">
        <v>0</v>
      </c>
      <c r="S11" s="1">
        <v>0</v>
      </c>
      <c r="T11" s="1">
        <v>0</v>
      </c>
      <c r="U11" s="1">
        <v>0</v>
      </c>
      <c r="V11" s="1">
        <v>0</v>
      </c>
      <c r="W11" s="1">
        <v>0</v>
      </c>
      <c r="X11" s="1">
        <v>0</v>
      </c>
      <c r="Y11" s="1">
        <v>47</v>
      </c>
      <c r="Z11" s="1">
        <v>0</v>
      </c>
      <c r="AA11" s="1">
        <v>0</v>
      </c>
      <c r="AB11" s="1">
        <v>0</v>
      </c>
      <c r="AC11" s="1">
        <v>43</v>
      </c>
      <c r="AD11" s="1"/>
      <c r="AE11" s="1"/>
      <c r="AF11" s="1"/>
      <c r="AG11" s="1"/>
      <c r="AH11">
        <f t="shared" si="0"/>
        <v>215</v>
      </c>
      <c r="AI11">
        <f t="shared" si="1"/>
        <v>26</v>
      </c>
      <c r="AJ11">
        <f t="shared" si="2"/>
        <v>21</v>
      </c>
      <c r="AK11">
        <f t="shared" si="3"/>
        <v>5</v>
      </c>
      <c r="AL11">
        <f t="shared" si="4"/>
        <v>43</v>
      </c>
    </row>
    <row r="12" spans="2:38">
      <c r="C12" t="s">
        <v>39</v>
      </c>
      <c r="D12" s="1">
        <v>0</v>
      </c>
      <c r="E12" s="1">
        <v>0</v>
      </c>
      <c r="F12" s="1">
        <v>43</v>
      </c>
      <c r="G12" s="1">
        <v>43</v>
      </c>
      <c r="H12" s="1">
        <v>0</v>
      </c>
      <c r="I12" s="1">
        <v>0</v>
      </c>
      <c r="J12" s="1">
        <v>0</v>
      </c>
      <c r="K12" s="1">
        <v>0</v>
      </c>
      <c r="L12" s="1">
        <v>47</v>
      </c>
      <c r="M12" s="1">
        <v>0</v>
      </c>
      <c r="N12" s="1">
        <v>0</v>
      </c>
      <c r="O12" s="1">
        <v>44</v>
      </c>
      <c r="P12" s="1">
        <v>51</v>
      </c>
      <c r="Q12" s="1"/>
      <c r="R12" s="1"/>
      <c r="S12" s="1"/>
      <c r="T12" s="1"/>
      <c r="U12" s="1"/>
      <c r="V12" s="1"/>
      <c r="W12" s="1"/>
      <c r="X12" s="1"/>
      <c r="Y12" s="1"/>
      <c r="Z12" s="1"/>
      <c r="AA12" s="1"/>
      <c r="AB12" s="1"/>
      <c r="AC12" s="1"/>
      <c r="AD12" s="1"/>
      <c r="AE12" s="1"/>
      <c r="AF12" s="1"/>
      <c r="AG12" s="1"/>
      <c r="AH12">
        <f t="shared" si="0"/>
        <v>228</v>
      </c>
      <c r="AI12">
        <f t="shared" si="1"/>
        <v>13</v>
      </c>
      <c r="AJ12">
        <f t="shared" si="2"/>
        <v>8</v>
      </c>
      <c r="AK12">
        <f t="shared" si="3"/>
        <v>5</v>
      </c>
      <c r="AL12">
        <f t="shared" si="4"/>
        <v>45.6</v>
      </c>
    </row>
    <row r="13" spans="2:38">
      <c r="AH13" t="s">
        <v>52</v>
      </c>
      <c r="AI13">
        <f>AVERAGE(AI3:AI12)</f>
        <v>12.4</v>
      </c>
      <c r="AJ13">
        <f t="shared" ref="AJ13:AL13" si="5">AVERAGE(AJ3:AJ12)</f>
        <v>7.4</v>
      </c>
      <c r="AK13">
        <f t="shared" si="5"/>
        <v>5</v>
      </c>
      <c r="AL13">
        <f t="shared" si="5"/>
        <v>44.36</v>
      </c>
    </row>
  </sheetData>
  <phoneticPr fontId="3" type="noConversion"/>
  <conditionalFormatting sqref="D3:AG12">
    <cfRule type="colorScale" priority="1">
      <colorScale>
        <cfvo type="min"/>
        <cfvo type="max"/>
        <color rgb="FFFF7128"/>
        <color theme="9"/>
      </colorScale>
    </cfRule>
    <cfRule type="cellIs" dxfId="11"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2F483-C5BA-451E-A8E5-F53D1C91B29D}">
  <dimension ref="B2:AB13"/>
  <sheetViews>
    <sheetView topLeftCell="R1" workbookViewId="0">
      <selection activeCell="Y13" sqref="Y13"/>
    </sheetView>
  </sheetViews>
  <sheetFormatPr defaultRowHeight="15"/>
  <cols>
    <col min="2" max="2" width="25.28515625" bestFit="1" customWidth="1"/>
  </cols>
  <sheetData>
    <row r="2" spans="2:28">
      <c r="B2" t="s">
        <v>63</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B3" t="s">
        <v>90</v>
      </c>
      <c r="C3" t="s">
        <v>18</v>
      </c>
      <c r="D3" s="1">
        <v>24</v>
      </c>
      <c r="E3" s="1">
        <v>0</v>
      </c>
      <c r="F3" s="1">
        <v>0</v>
      </c>
      <c r="G3" s="1">
        <v>26</v>
      </c>
      <c r="H3" s="1">
        <v>31</v>
      </c>
      <c r="I3" s="1">
        <v>28</v>
      </c>
      <c r="J3" s="1">
        <v>17</v>
      </c>
      <c r="K3" s="1">
        <v>0</v>
      </c>
      <c r="L3" s="1">
        <v>0</v>
      </c>
      <c r="M3" s="1">
        <v>28</v>
      </c>
      <c r="N3" s="1">
        <v>0</v>
      </c>
      <c r="O3" s="1">
        <v>25</v>
      </c>
      <c r="P3" s="1">
        <v>0</v>
      </c>
      <c r="Q3" s="1">
        <v>22</v>
      </c>
      <c r="R3" s="1"/>
      <c r="S3" s="1"/>
      <c r="T3" s="1"/>
      <c r="U3" s="1"/>
      <c r="V3" s="1"/>
      <c r="W3" s="1"/>
      <c r="X3">
        <f t="shared" ref="X3:X12" si="0">SUM(D3:R3)</f>
        <v>201</v>
      </c>
      <c r="Y3">
        <f t="shared" ref="Y3:Y12" si="1">COUNT(D3:R3)</f>
        <v>14</v>
      </c>
      <c r="Z3">
        <f t="shared" ref="Z3:Z12" si="2">COUNTIF(D3:R3,0)</f>
        <v>6</v>
      </c>
      <c r="AA3">
        <f>Y3-Z3</f>
        <v>8</v>
      </c>
      <c r="AB3">
        <f>X3/AA3</f>
        <v>25.125</v>
      </c>
    </row>
    <row r="4" spans="2:28">
      <c r="C4" t="s">
        <v>31</v>
      </c>
      <c r="D4" s="1">
        <v>0</v>
      </c>
      <c r="E4" s="1">
        <v>25</v>
      </c>
      <c r="F4" s="1">
        <v>0</v>
      </c>
      <c r="G4" s="1">
        <v>31</v>
      </c>
      <c r="H4" s="1">
        <v>22</v>
      </c>
      <c r="I4" s="1">
        <v>30</v>
      </c>
      <c r="J4" s="1">
        <v>22</v>
      </c>
      <c r="K4" s="1">
        <v>22</v>
      </c>
      <c r="L4" s="1">
        <v>30</v>
      </c>
      <c r="M4" s="1">
        <v>21</v>
      </c>
      <c r="N4" s="1"/>
      <c r="O4" s="1"/>
      <c r="P4" s="1"/>
      <c r="Q4" s="1"/>
      <c r="R4" s="1"/>
      <c r="S4" s="1"/>
      <c r="T4" s="1"/>
      <c r="U4" s="1"/>
      <c r="V4" s="1"/>
      <c r="W4" s="1"/>
      <c r="X4">
        <f t="shared" si="0"/>
        <v>203</v>
      </c>
      <c r="Y4">
        <f t="shared" si="1"/>
        <v>10</v>
      </c>
      <c r="Z4">
        <f t="shared" si="2"/>
        <v>2</v>
      </c>
      <c r="AA4">
        <f t="shared" ref="AA4:AA12" si="3">Y4-Z4</f>
        <v>8</v>
      </c>
      <c r="AB4">
        <f t="shared" ref="AB4:AB12" si="4">X4/AA4</f>
        <v>25.375</v>
      </c>
    </row>
    <row r="5" spans="2:28">
      <c r="C5" t="s">
        <v>32</v>
      </c>
      <c r="D5" s="1">
        <v>0</v>
      </c>
      <c r="E5" s="1">
        <v>35</v>
      </c>
      <c r="F5" s="1">
        <v>0</v>
      </c>
      <c r="G5" s="1">
        <v>0</v>
      </c>
      <c r="H5" s="1">
        <v>25</v>
      </c>
      <c r="I5" s="1">
        <v>0</v>
      </c>
      <c r="J5" s="1">
        <v>0</v>
      </c>
      <c r="K5" s="1">
        <v>25</v>
      </c>
      <c r="L5" s="1">
        <v>0</v>
      </c>
      <c r="M5" s="1">
        <v>33</v>
      </c>
      <c r="N5" s="1">
        <v>34</v>
      </c>
      <c r="O5" s="1">
        <v>21</v>
      </c>
      <c r="P5" s="1">
        <v>26</v>
      </c>
      <c r="Q5" s="1">
        <v>19</v>
      </c>
      <c r="R5" s="1"/>
      <c r="S5" s="1"/>
      <c r="T5" s="1"/>
      <c r="U5" s="1"/>
      <c r="V5" s="1"/>
      <c r="W5" s="1"/>
      <c r="X5">
        <f t="shared" si="0"/>
        <v>218</v>
      </c>
      <c r="Y5">
        <f t="shared" si="1"/>
        <v>14</v>
      </c>
      <c r="Z5">
        <f t="shared" si="2"/>
        <v>6</v>
      </c>
      <c r="AA5">
        <f t="shared" si="3"/>
        <v>8</v>
      </c>
      <c r="AB5">
        <f t="shared" si="4"/>
        <v>27.25</v>
      </c>
    </row>
    <row r="6" spans="2:28">
      <c r="C6" t="s">
        <v>33</v>
      </c>
      <c r="D6" s="1">
        <v>31</v>
      </c>
      <c r="E6" s="1">
        <v>23</v>
      </c>
      <c r="F6" s="1">
        <v>22</v>
      </c>
      <c r="G6" s="1">
        <v>21</v>
      </c>
      <c r="H6" s="1">
        <v>26</v>
      </c>
      <c r="I6" s="1">
        <v>30</v>
      </c>
      <c r="J6" s="1">
        <v>23</v>
      </c>
      <c r="K6" s="1">
        <v>36</v>
      </c>
      <c r="L6" s="1"/>
      <c r="M6" s="1"/>
      <c r="N6" s="1"/>
      <c r="O6" s="1"/>
      <c r="P6" s="1"/>
      <c r="Q6" s="1"/>
      <c r="R6" s="1"/>
      <c r="S6" s="1"/>
      <c r="T6" s="1"/>
      <c r="U6" s="1"/>
      <c r="V6" s="1"/>
      <c r="W6" s="1"/>
      <c r="X6">
        <f t="shared" si="0"/>
        <v>212</v>
      </c>
      <c r="Y6">
        <f t="shared" si="1"/>
        <v>8</v>
      </c>
      <c r="Z6">
        <f t="shared" si="2"/>
        <v>0</v>
      </c>
      <c r="AA6">
        <f t="shared" si="3"/>
        <v>8</v>
      </c>
      <c r="AB6">
        <f t="shared" si="4"/>
        <v>26.5</v>
      </c>
    </row>
    <row r="7" spans="2:28">
      <c r="C7" t="s">
        <v>34</v>
      </c>
      <c r="D7" s="1">
        <v>34</v>
      </c>
      <c r="E7" s="1">
        <v>26</v>
      </c>
      <c r="F7" s="1">
        <v>26</v>
      </c>
      <c r="G7" s="1">
        <v>29</v>
      </c>
      <c r="H7" s="1">
        <v>23</v>
      </c>
      <c r="I7" s="1">
        <v>26</v>
      </c>
      <c r="J7" s="1">
        <v>27</v>
      </c>
      <c r="K7" s="1">
        <v>21</v>
      </c>
      <c r="L7" s="1"/>
      <c r="M7" s="1"/>
      <c r="N7" s="1"/>
      <c r="O7" s="1"/>
      <c r="P7" s="1"/>
      <c r="Q7" s="1"/>
      <c r="R7" s="1"/>
      <c r="S7" s="1"/>
      <c r="T7" s="1"/>
      <c r="U7" s="1"/>
      <c r="V7" s="1"/>
      <c r="W7" s="1"/>
      <c r="X7">
        <f t="shared" si="0"/>
        <v>212</v>
      </c>
      <c r="Y7">
        <f t="shared" si="1"/>
        <v>8</v>
      </c>
      <c r="Z7">
        <f t="shared" si="2"/>
        <v>0</v>
      </c>
      <c r="AA7">
        <f t="shared" si="3"/>
        <v>8</v>
      </c>
      <c r="AB7">
        <f t="shared" si="4"/>
        <v>26.5</v>
      </c>
    </row>
    <row r="8" spans="2:28">
      <c r="C8" t="s">
        <v>35</v>
      </c>
      <c r="D8" s="1">
        <v>0</v>
      </c>
      <c r="E8" s="1">
        <v>27</v>
      </c>
      <c r="F8" s="1">
        <v>25</v>
      </c>
      <c r="G8" s="1">
        <v>26</v>
      </c>
      <c r="H8" s="1">
        <v>19</v>
      </c>
      <c r="I8" s="1">
        <v>20</v>
      </c>
      <c r="J8" s="1">
        <v>0</v>
      </c>
      <c r="K8" s="1">
        <v>32</v>
      </c>
      <c r="L8" s="1">
        <v>27</v>
      </c>
      <c r="M8" s="1">
        <v>28</v>
      </c>
      <c r="N8" s="1"/>
      <c r="O8" s="1"/>
      <c r="P8" s="1"/>
      <c r="Q8" s="1"/>
      <c r="R8" s="1"/>
      <c r="S8" s="1"/>
      <c r="T8" s="1"/>
      <c r="U8" s="1"/>
      <c r="V8" s="1"/>
      <c r="W8" s="1"/>
      <c r="X8">
        <f t="shared" si="0"/>
        <v>204</v>
      </c>
      <c r="Y8">
        <f t="shared" si="1"/>
        <v>10</v>
      </c>
      <c r="Z8">
        <f t="shared" si="2"/>
        <v>2</v>
      </c>
      <c r="AA8">
        <f t="shared" si="3"/>
        <v>8</v>
      </c>
      <c r="AB8">
        <f t="shared" si="4"/>
        <v>25.5</v>
      </c>
    </row>
    <row r="9" spans="2:28">
      <c r="C9" t="s">
        <v>36</v>
      </c>
      <c r="D9" s="1">
        <v>30</v>
      </c>
      <c r="E9" s="1">
        <v>25</v>
      </c>
      <c r="F9" s="1">
        <v>28</v>
      </c>
      <c r="G9" s="1">
        <v>29</v>
      </c>
      <c r="H9" s="1">
        <v>18</v>
      </c>
      <c r="I9" s="1">
        <v>24</v>
      </c>
      <c r="J9" s="1">
        <v>0</v>
      </c>
      <c r="K9" s="1">
        <v>24</v>
      </c>
      <c r="L9" s="1">
        <v>0</v>
      </c>
      <c r="M9" s="1">
        <v>21</v>
      </c>
      <c r="N9" s="1">
        <v>26</v>
      </c>
      <c r="O9" s="1"/>
      <c r="P9" s="1"/>
      <c r="Q9" s="1"/>
      <c r="R9" s="1"/>
      <c r="S9" s="1"/>
      <c r="T9" s="1"/>
      <c r="U9" s="1"/>
      <c r="V9" s="1"/>
      <c r="W9" s="1"/>
      <c r="X9">
        <f t="shared" si="0"/>
        <v>225</v>
      </c>
      <c r="Y9">
        <f t="shared" si="1"/>
        <v>11</v>
      </c>
      <c r="Z9">
        <f t="shared" si="2"/>
        <v>2</v>
      </c>
      <c r="AA9">
        <f t="shared" si="3"/>
        <v>9</v>
      </c>
      <c r="AB9">
        <f t="shared" si="4"/>
        <v>25</v>
      </c>
    </row>
    <row r="10" spans="2:28">
      <c r="C10" t="s">
        <v>37</v>
      </c>
      <c r="D10" s="1">
        <v>0</v>
      </c>
      <c r="E10" s="1">
        <v>24</v>
      </c>
      <c r="F10" s="1">
        <v>0</v>
      </c>
      <c r="G10" s="1">
        <v>20</v>
      </c>
      <c r="H10" s="1">
        <v>26</v>
      </c>
      <c r="I10" s="1">
        <v>20</v>
      </c>
      <c r="J10" s="1">
        <v>0</v>
      </c>
      <c r="K10" s="1">
        <v>24</v>
      </c>
      <c r="L10" s="1">
        <v>20</v>
      </c>
      <c r="M10" s="1">
        <v>25</v>
      </c>
      <c r="N10" s="1">
        <v>0</v>
      </c>
      <c r="O10" s="1">
        <v>25</v>
      </c>
      <c r="P10" s="1">
        <v>22</v>
      </c>
      <c r="Q10" s="1"/>
      <c r="R10" s="1"/>
      <c r="S10" s="1"/>
      <c r="T10" s="1"/>
      <c r="U10" s="1"/>
      <c r="V10" s="1"/>
      <c r="W10" s="1"/>
      <c r="X10">
        <f t="shared" si="0"/>
        <v>206</v>
      </c>
      <c r="Y10">
        <f t="shared" si="1"/>
        <v>13</v>
      </c>
      <c r="Z10">
        <f t="shared" si="2"/>
        <v>4</v>
      </c>
      <c r="AA10">
        <f t="shared" si="3"/>
        <v>9</v>
      </c>
      <c r="AB10">
        <f t="shared" si="4"/>
        <v>22.888888888888889</v>
      </c>
    </row>
    <row r="11" spans="2:28">
      <c r="C11" t="s">
        <v>38</v>
      </c>
      <c r="D11" s="1">
        <v>30</v>
      </c>
      <c r="E11" s="1">
        <v>25</v>
      </c>
      <c r="F11" s="1">
        <v>19</v>
      </c>
      <c r="G11" s="1">
        <v>0</v>
      </c>
      <c r="H11" s="1">
        <v>22</v>
      </c>
      <c r="I11" s="1">
        <v>0</v>
      </c>
      <c r="J11" s="1">
        <v>18</v>
      </c>
      <c r="K11" s="1">
        <v>24</v>
      </c>
      <c r="L11" s="1">
        <v>28</v>
      </c>
      <c r="M11" s="1">
        <v>26</v>
      </c>
      <c r="N11" s="1">
        <v>22</v>
      </c>
      <c r="O11" s="1"/>
      <c r="P11" s="1"/>
      <c r="Q11" s="1"/>
      <c r="R11" s="1"/>
      <c r="S11" s="1"/>
      <c r="T11" s="1"/>
      <c r="U11" s="1"/>
      <c r="V11" s="1"/>
      <c r="W11" s="1"/>
      <c r="X11">
        <f t="shared" si="0"/>
        <v>214</v>
      </c>
      <c r="Y11">
        <f t="shared" si="1"/>
        <v>11</v>
      </c>
      <c r="Z11">
        <f t="shared" si="2"/>
        <v>2</v>
      </c>
      <c r="AA11">
        <f t="shared" si="3"/>
        <v>9</v>
      </c>
      <c r="AB11">
        <f t="shared" si="4"/>
        <v>23.777777777777779</v>
      </c>
    </row>
    <row r="12" spans="2:28">
      <c r="C12" t="s">
        <v>39</v>
      </c>
      <c r="D12" s="1">
        <v>29</v>
      </c>
      <c r="E12" s="1">
        <v>0</v>
      </c>
      <c r="F12" s="1">
        <v>22</v>
      </c>
      <c r="G12" s="1">
        <v>0</v>
      </c>
      <c r="H12" s="1">
        <v>24</v>
      </c>
      <c r="I12" s="1">
        <v>0</v>
      </c>
      <c r="J12" s="1">
        <v>20</v>
      </c>
      <c r="K12" s="1">
        <v>24</v>
      </c>
      <c r="L12" s="1">
        <v>33</v>
      </c>
      <c r="M12" s="1">
        <v>26</v>
      </c>
      <c r="N12" s="1">
        <v>23</v>
      </c>
      <c r="O12" s="1"/>
      <c r="P12" s="1"/>
      <c r="Q12" s="1"/>
      <c r="R12" s="1"/>
      <c r="S12" s="1"/>
      <c r="T12" s="1"/>
      <c r="U12" s="1"/>
      <c r="V12" s="1"/>
      <c r="W12" s="1"/>
      <c r="X12">
        <f t="shared" si="0"/>
        <v>201</v>
      </c>
      <c r="Y12">
        <f t="shared" si="1"/>
        <v>11</v>
      </c>
      <c r="Z12">
        <f t="shared" si="2"/>
        <v>3</v>
      </c>
      <c r="AA12">
        <f t="shared" si="3"/>
        <v>8</v>
      </c>
      <c r="AB12">
        <f t="shared" si="4"/>
        <v>25.125</v>
      </c>
    </row>
    <row r="13" spans="2:28">
      <c r="X13" t="s">
        <v>52</v>
      </c>
      <c r="Y13">
        <f>AVERAGE(Y3:Y12)</f>
        <v>11</v>
      </c>
      <c r="Z13">
        <f t="shared" ref="Z13:AB13" si="5">AVERAGE(Z3:Z12)</f>
        <v>2.7</v>
      </c>
      <c r="AA13">
        <f t="shared" si="5"/>
        <v>8.3000000000000007</v>
      </c>
      <c r="AB13">
        <f t="shared" si="5"/>
        <v>25.304166666666667</v>
      </c>
    </row>
  </sheetData>
  <phoneticPr fontId="3" type="noConversion"/>
  <conditionalFormatting sqref="D3:W12">
    <cfRule type="colorScale" priority="1">
      <colorScale>
        <cfvo type="min"/>
        <cfvo type="max"/>
        <color rgb="FFFF7128"/>
        <color theme="9"/>
      </colorScale>
    </cfRule>
    <cfRule type="cellIs" dxfId="10"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C07C4-20B6-493B-9A12-DEBA90594690}">
  <dimension ref="B2:W13"/>
  <sheetViews>
    <sheetView topLeftCell="N1" workbookViewId="0">
      <selection activeCell="U12" sqref="U12"/>
    </sheetView>
  </sheetViews>
  <sheetFormatPr defaultRowHeight="15"/>
  <cols>
    <col min="2" max="2" width="25.28515625" bestFit="1" customWidth="1"/>
  </cols>
  <sheetData>
    <row r="2" spans="2:23">
      <c r="B2" t="s">
        <v>64</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v>27</v>
      </c>
      <c r="E3" s="1">
        <v>0</v>
      </c>
      <c r="F3" s="1">
        <v>0</v>
      </c>
      <c r="G3" s="1">
        <v>68</v>
      </c>
      <c r="H3" s="1">
        <v>32</v>
      </c>
      <c r="I3" s="1">
        <v>30</v>
      </c>
      <c r="J3" s="1">
        <v>0</v>
      </c>
      <c r="K3" s="1">
        <v>0</v>
      </c>
      <c r="L3" s="1">
        <v>0</v>
      </c>
      <c r="M3" s="1">
        <v>32</v>
      </c>
      <c r="N3" s="1">
        <v>22</v>
      </c>
      <c r="O3" s="1"/>
      <c r="P3" s="1"/>
      <c r="Q3" s="1"/>
      <c r="R3" s="1"/>
      <c r="S3">
        <f>SUM(D3:R3)</f>
        <v>211</v>
      </c>
      <c r="T3">
        <f>COUNT(D3:R3)</f>
        <v>11</v>
      </c>
      <c r="U3">
        <f>COUNTIF(D3:R3,0)</f>
        <v>5</v>
      </c>
      <c r="V3">
        <f>T3-U3</f>
        <v>6</v>
      </c>
      <c r="W3">
        <f>S3/V3</f>
        <v>35.166666666666664</v>
      </c>
    </row>
    <row r="4" spans="2:23">
      <c r="C4" t="s">
        <v>31</v>
      </c>
      <c r="D4" s="1">
        <v>27</v>
      </c>
      <c r="E4" s="1">
        <v>23</v>
      </c>
      <c r="F4" s="1">
        <v>0</v>
      </c>
      <c r="G4" s="1">
        <v>31</v>
      </c>
      <c r="H4" s="1">
        <v>0</v>
      </c>
      <c r="I4" s="1">
        <v>26</v>
      </c>
      <c r="J4" s="1">
        <v>34</v>
      </c>
      <c r="K4" s="1">
        <v>0</v>
      </c>
      <c r="L4" s="1">
        <v>30</v>
      </c>
      <c r="M4" s="1">
        <v>33</v>
      </c>
      <c r="N4" s="1"/>
      <c r="O4" s="1"/>
      <c r="P4" s="1"/>
      <c r="Q4" s="1"/>
      <c r="R4" s="1"/>
      <c r="S4">
        <f t="shared" ref="S4:S12" si="0">SUM(D4:R4)</f>
        <v>204</v>
      </c>
      <c r="T4">
        <f t="shared" ref="T4:T12" si="1">COUNT(D4:R4)</f>
        <v>10</v>
      </c>
      <c r="U4">
        <f t="shared" ref="U4:U12" si="2">COUNTIF(D4:R4,0)</f>
        <v>3</v>
      </c>
      <c r="V4">
        <f t="shared" ref="V4:V12" si="3">T4-U4</f>
        <v>7</v>
      </c>
      <c r="W4">
        <f t="shared" ref="W4:W12" si="4">S4/V4</f>
        <v>29.142857142857142</v>
      </c>
    </row>
    <row r="5" spans="2:23">
      <c r="C5" t="s">
        <v>32</v>
      </c>
      <c r="D5" s="1">
        <v>0</v>
      </c>
      <c r="E5" s="1">
        <v>0</v>
      </c>
      <c r="F5" s="1">
        <v>0</v>
      </c>
      <c r="G5" s="1">
        <v>26</v>
      </c>
      <c r="H5" s="1">
        <v>29</v>
      </c>
      <c r="I5" s="1">
        <v>31</v>
      </c>
      <c r="J5" s="1">
        <v>30</v>
      </c>
      <c r="K5" s="1">
        <v>28</v>
      </c>
      <c r="L5" s="1">
        <v>30</v>
      </c>
      <c r="M5" s="1">
        <v>27</v>
      </c>
      <c r="N5" s="1"/>
      <c r="O5" s="1"/>
      <c r="P5" s="1"/>
      <c r="Q5" s="1"/>
      <c r="R5" s="1"/>
      <c r="S5">
        <f t="shared" si="0"/>
        <v>201</v>
      </c>
      <c r="T5">
        <f t="shared" si="1"/>
        <v>10</v>
      </c>
      <c r="U5">
        <f t="shared" si="2"/>
        <v>3</v>
      </c>
      <c r="V5">
        <f t="shared" si="3"/>
        <v>7</v>
      </c>
      <c r="W5">
        <f t="shared" si="4"/>
        <v>28.714285714285715</v>
      </c>
    </row>
    <row r="6" spans="2:23">
      <c r="C6" t="s">
        <v>33</v>
      </c>
      <c r="D6" s="1">
        <v>0</v>
      </c>
      <c r="E6" s="1">
        <v>0</v>
      </c>
      <c r="F6" s="1">
        <v>30</v>
      </c>
      <c r="G6" s="1">
        <v>29</v>
      </c>
      <c r="H6" s="1">
        <v>0</v>
      </c>
      <c r="I6" s="1">
        <v>0</v>
      </c>
      <c r="J6" s="1">
        <v>38</v>
      </c>
      <c r="K6" s="1">
        <v>0</v>
      </c>
      <c r="L6" s="1">
        <v>32</v>
      </c>
      <c r="M6" s="1">
        <v>0</v>
      </c>
      <c r="N6" s="1">
        <v>32</v>
      </c>
      <c r="O6" s="1">
        <v>0</v>
      </c>
      <c r="P6" s="1">
        <v>28</v>
      </c>
      <c r="Q6" s="1">
        <v>37</v>
      </c>
      <c r="R6" s="1"/>
      <c r="S6">
        <f t="shared" si="0"/>
        <v>226</v>
      </c>
      <c r="T6">
        <f t="shared" si="1"/>
        <v>14</v>
      </c>
      <c r="U6">
        <f t="shared" si="2"/>
        <v>7</v>
      </c>
      <c r="V6">
        <f t="shared" si="3"/>
        <v>7</v>
      </c>
      <c r="W6">
        <f t="shared" si="4"/>
        <v>32.285714285714285</v>
      </c>
    </row>
    <row r="7" spans="2:23">
      <c r="C7" t="s">
        <v>34</v>
      </c>
      <c r="D7" s="1">
        <v>19</v>
      </c>
      <c r="E7" s="1">
        <v>0</v>
      </c>
      <c r="F7" s="1">
        <v>27</v>
      </c>
      <c r="G7" s="1">
        <v>0</v>
      </c>
      <c r="H7" s="1">
        <v>0</v>
      </c>
      <c r="I7" s="1">
        <v>0</v>
      </c>
      <c r="J7" s="1">
        <v>0</v>
      </c>
      <c r="K7" s="1">
        <v>0</v>
      </c>
      <c r="L7" s="1">
        <v>24</v>
      </c>
      <c r="M7" s="1">
        <v>33</v>
      </c>
      <c r="N7" s="1">
        <v>0</v>
      </c>
      <c r="O7" s="1">
        <v>32</v>
      </c>
      <c r="P7" s="1">
        <v>0</v>
      </c>
      <c r="Q7" s="1">
        <v>40</v>
      </c>
      <c r="R7" s="1">
        <v>29</v>
      </c>
      <c r="S7">
        <f t="shared" si="0"/>
        <v>204</v>
      </c>
      <c r="T7">
        <f t="shared" si="1"/>
        <v>15</v>
      </c>
      <c r="U7">
        <f t="shared" si="2"/>
        <v>8</v>
      </c>
      <c r="V7">
        <f t="shared" si="3"/>
        <v>7</v>
      </c>
      <c r="W7">
        <f t="shared" si="4"/>
        <v>29.142857142857142</v>
      </c>
    </row>
    <row r="8" spans="2:23">
      <c r="C8" t="s">
        <v>35</v>
      </c>
      <c r="D8" s="1">
        <v>0</v>
      </c>
      <c r="E8" s="1">
        <v>26</v>
      </c>
      <c r="F8" s="1">
        <v>23</v>
      </c>
      <c r="G8" s="1">
        <v>39</v>
      </c>
      <c r="H8" s="1">
        <v>0</v>
      </c>
      <c r="I8" s="1">
        <v>26</v>
      </c>
      <c r="J8" s="1">
        <v>41</v>
      </c>
      <c r="K8" s="1">
        <v>0</v>
      </c>
      <c r="L8" s="1">
        <v>30</v>
      </c>
      <c r="M8" s="1">
        <v>24</v>
      </c>
      <c r="N8" s="1"/>
      <c r="O8" s="1"/>
      <c r="P8" s="1"/>
      <c r="Q8" s="1"/>
      <c r="R8" s="1"/>
      <c r="S8">
        <f t="shared" si="0"/>
        <v>209</v>
      </c>
      <c r="T8">
        <f t="shared" si="1"/>
        <v>10</v>
      </c>
      <c r="U8">
        <f t="shared" si="2"/>
        <v>3</v>
      </c>
      <c r="V8">
        <f t="shared" si="3"/>
        <v>7</v>
      </c>
      <c r="W8">
        <f t="shared" si="4"/>
        <v>29.857142857142858</v>
      </c>
    </row>
    <row r="9" spans="2:23">
      <c r="C9" t="s">
        <v>36</v>
      </c>
      <c r="D9" s="1">
        <v>0</v>
      </c>
      <c r="E9" s="1">
        <v>18</v>
      </c>
      <c r="F9" s="1">
        <v>36</v>
      </c>
      <c r="G9" s="1">
        <v>23</v>
      </c>
      <c r="H9" s="1">
        <v>27</v>
      </c>
      <c r="I9" s="1">
        <v>31</v>
      </c>
      <c r="J9" s="1">
        <v>31</v>
      </c>
      <c r="K9" s="1">
        <v>0</v>
      </c>
      <c r="L9" s="1">
        <v>31</v>
      </c>
      <c r="M9" s="1">
        <v>30</v>
      </c>
      <c r="N9" s="1"/>
      <c r="O9" s="1"/>
      <c r="P9" s="1"/>
      <c r="Q9" s="1"/>
      <c r="R9" s="1"/>
      <c r="S9">
        <f t="shared" si="0"/>
        <v>227</v>
      </c>
      <c r="T9">
        <f t="shared" si="1"/>
        <v>10</v>
      </c>
      <c r="U9">
        <f t="shared" si="2"/>
        <v>2</v>
      </c>
      <c r="V9">
        <f t="shared" si="3"/>
        <v>8</v>
      </c>
      <c r="W9">
        <f t="shared" si="4"/>
        <v>28.375</v>
      </c>
    </row>
    <row r="10" spans="2:23">
      <c r="C10" t="s">
        <v>37</v>
      </c>
      <c r="D10" s="1">
        <v>32</v>
      </c>
      <c r="E10" s="1">
        <v>33</v>
      </c>
      <c r="F10" s="1">
        <v>0</v>
      </c>
      <c r="G10" s="1">
        <v>37</v>
      </c>
      <c r="H10" s="1">
        <v>0</v>
      </c>
      <c r="I10" s="1">
        <v>32</v>
      </c>
      <c r="J10" s="1">
        <v>30</v>
      </c>
      <c r="K10" s="1">
        <v>0</v>
      </c>
      <c r="L10" s="1">
        <v>25</v>
      </c>
      <c r="M10" s="1">
        <v>0</v>
      </c>
      <c r="N10" s="1">
        <v>36</v>
      </c>
      <c r="O10" s="1"/>
      <c r="P10" s="1"/>
      <c r="Q10" s="1"/>
      <c r="R10" s="1"/>
      <c r="S10">
        <f t="shared" si="0"/>
        <v>225</v>
      </c>
      <c r="T10">
        <f t="shared" si="1"/>
        <v>11</v>
      </c>
      <c r="U10">
        <f t="shared" si="2"/>
        <v>4</v>
      </c>
      <c r="V10">
        <f t="shared" si="3"/>
        <v>7</v>
      </c>
      <c r="W10">
        <f t="shared" si="4"/>
        <v>32.142857142857146</v>
      </c>
    </row>
    <row r="11" spans="2:23">
      <c r="C11" t="s">
        <v>38</v>
      </c>
      <c r="D11" s="1">
        <v>35</v>
      </c>
      <c r="E11" s="1">
        <v>30</v>
      </c>
      <c r="F11" s="1">
        <v>30</v>
      </c>
      <c r="G11" s="1">
        <v>0</v>
      </c>
      <c r="H11" s="1">
        <v>24</v>
      </c>
      <c r="I11" s="1">
        <v>34</v>
      </c>
      <c r="J11" s="1">
        <v>32</v>
      </c>
      <c r="K11" s="1">
        <v>0</v>
      </c>
      <c r="L11" s="1">
        <v>32</v>
      </c>
      <c r="M11" s="1"/>
      <c r="N11" s="1"/>
      <c r="O11" s="1"/>
      <c r="P11" s="1"/>
      <c r="Q11" s="1"/>
      <c r="R11" s="1"/>
      <c r="S11">
        <f t="shared" si="0"/>
        <v>217</v>
      </c>
      <c r="T11">
        <f t="shared" si="1"/>
        <v>9</v>
      </c>
      <c r="U11">
        <f t="shared" si="2"/>
        <v>2</v>
      </c>
      <c r="V11">
        <f t="shared" si="3"/>
        <v>7</v>
      </c>
      <c r="W11">
        <f t="shared" si="4"/>
        <v>31</v>
      </c>
    </row>
    <row r="12" spans="2:23">
      <c r="C12" t="s">
        <v>39</v>
      </c>
      <c r="D12" s="1">
        <v>0</v>
      </c>
      <c r="E12" s="1">
        <v>0</v>
      </c>
      <c r="F12" s="1">
        <v>33</v>
      </c>
      <c r="G12" s="1">
        <v>29</v>
      </c>
      <c r="H12" s="1">
        <v>34</v>
      </c>
      <c r="I12" s="1">
        <v>35</v>
      </c>
      <c r="J12" s="1">
        <v>33</v>
      </c>
      <c r="K12" s="1">
        <v>30</v>
      </c>
      <c r="L12" s="1">
        <v>30</v>
      </c>
      <c r="M12" s="1"/>
      <c r="N12" s="1"/>
      <c r="O12" s="1"/>
      <c r="P12" s="1"/>
      <c r="Q12" s="1"/>
      <c r="R12" s="1"/>
      <c r="S12">
        <f t="shared" si="0"/>
        <v>224</v>
      </c>
      <c r="T12">
        <f t="shared" si="1"/>
        <v>9</v>
      </c>
      <c r="U12">
        <f t="shared" si="2"/>
        <v>2</v>
      </c>
      <c r="V12">
        <f t="shared" si="3"/>
        <v>7</v>
      </c>
      <c r="W12">
        <f t="shared" si="4"/>
        <v>32</v>
      </c>
    </row>
    <row r="13" spans="2:23">
      <c r="S13" t="s">
        <v>52</v>
      </c>
      <c r="T13">
        <f>AVERAGE(T3:T12)</f>
        <v>10.9</v>
      </c>
      <c r="U13">
        <f t="shared" ref="U13:W13" si="5">AVERAGE(U3:U12)</f>
        <v>3.9</v>
      </c>
      <c r="V13">
        <f t="shared" si="5"/>
        <v>7</v>
      </c>
      <c r="W13">
        <f t="shared" si="5"/>
        <v>30.782738095238095</v>
      </c>
    </row>
  </sheetData>
  <conditionalFormatting sqref="D3:R12">
    <cfRule type="colorScale" priority="1">
      <colorScale>
        <cfvo type="min"/>
        <cfvo type="max"/>
        <color rgb="FFFF7128"/>
        <color theme="9"/>
      </colorScale>
    </cfRule>
    <cfRule type="cellIs" dxfId="9"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335EAD-3F46-4CCC-88F0-4EC20634AADD}">
  <dimension ref="B2:AB13"/>
  <sheetViews>
    <sheetView topLeftCell="P1" workbookViewId="0">
      <selection activeCell="Y18" sqref="Y18"/>
    </sheetView>
  </sheetViews>
  <sheetFormatPr defaultRowHeight="15"/>
  <cols>
    <col min="2" max="2" width="25.28515625" bestFit="1" customWidth="1"/>
  </cols>
  <sheetData>
    <row r="2" spans="2:28">
      <c r="B2" t="s">
        <v>65</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37</v>
      </c>
      <c r="E3" s="1">
        <v>0</v>
      </c>
      <c r="F3" s="1">
        <v>39</v>
      </c>
      <c r="G3" s="1">
        <v>31</v>
      </c>
      <c r="H3" s="1">
        <v>41</v>
      </c>
      <c r="I3" s="1">
        <v>0</v>
      </c>
      <c r="J3" s="1">
        <v>37</v>
      </c>
      <c r="K3" s="1">
        <v>37</v>
      </c>
      <c r="L3" s="1"/>
      <c r="M3" s="1"/>
      <c r="N3" s="1"/>
      <c r="O3" s="1"/>
      <c r="P3" s="1"/>
      <c r="Q3" s="1"/>
      <c r="R3" s="1"/>
      <c r="S3" s="1"/>
      <c r="T3" s="1"/>
      <c r="U3" s="1"/>
      <c r="V3" s="1"/>
      <c r="W3" s="1"/>
      <c r="X3">
        <f t="shared" ref="X3:X4" si="0">SUM(D3:W3)</f>
        <v>222</v>
      </c>
      <c r="Y3">
        <f t="shared" ref="Y3:Y4" si="1">COUNT(D3:W3)</f>
        <v>8</v>
      </c>
      <c r="Z3">
        <f>COUNTIF(D3:W3,0)</f>
        <v>2</v>
      </c>
      <c r="AA3">
        <f>Y3-Z3</f>
        <v>6</v>
      </c>
      <c r="AB3">
        <f>X3/AA3</f>
        <v>37</v>
      </c>
    </row>
    <row r="4" spans="2:28">
      <c r="C4" t="s">
        <v>31</v>
      </c>
      <c r="D4" s="1">
        <v>32</v>
      </c>
      <c r="E4" s="1">
        <v>0</v>
      </c>
      <c r="F4" s="1">
        <v>0</v>
      </c>
      <c r="G4" s="1">
        <v>30</v>
      </c>
      <c r="H4" s="1">
        <v>0</v>
      </c>
      <c r="I4" s="1">
        <v>29</v>
      </c>
      <c r="J4" s="1">
        <v>0</v>
      </c>
      <c r="K4" s="1">
        <v>36</v>
      </c>
      <c r="L4" s="1">
        <v>0</v>
      </c>
      <c r="M4" s="1">
        <v>45</v>
      </c>
      <c r="N4" s="1">
        <v>0</v>
      </c>
      <c r="O4" s="1">
        <v>34</v>
      </c>
      <c r="P4" s="1"/>
      <c r="Q4" s="1"/>
      <c r="R4" s="1"/>
      <c r="S4" s="1"/>
      <c r="T4" s="1"/>
      <c r="U4" s="1"/>
      <c r="V4" s="1"/>
      <c r="W4" s="1"/>
      <c r="X4">
        <f t="shared" si="0"/>
        <v>206</v>
      </c>
      <c r="Y4">
        <f t="shared" si="1"/>
        <v>12</v>
      </c>
      <c r="Z4">
        <f t="shared" ref="Z4:Z12" si="2">COUNTIF(D4:W4,0)</f>
        <v>6</v>
      </c>
      <c r="AA4">
        <f t="shared" ref="AA4:AA12" si="3">Y4-Z4</f>
        <v>6</v>
      </c>
      <c r="AB4">
        <f t="shared" ref="AB4:AB12" si="4">X4/AA4</f>
        <v>34.333333333333336</v>
      </c>
    </row>
    <row r="5" spans="2:28">
      <c r="C5" t="s">
        <v>32</v>
      </c>
      <c r="D5" s="1">
        <v>0</v>
      </c>
      <c r="E5" s="1">
        <v>31</v>
      </c>
      <c r="F5" s="1">
        <v>0</v>
      </c>
      <c r="G5" s="1">
        <v>0</v>
      </c>
      <c r="H5" s="1">
        <v>0</v>
      </c>
      <c r="I5" s="1">
        <v>26</v>
      </c>
      <c r="J5" s="1">
        <v>37</v>
      </c>
      <c r="K5" s="1">
        <v>0</v>
      </c>
      <c r="L5" s="1">
        <v>0</v>
      </c>
      <c r="M5" s="1">
        <v>0</v>
      </c>
      <c r="N5" s="1">
        <v>0</v>
      </c>
      <c r="O5" s="1">
        <v>36</v>
      </c>
      <c r="P5" s="1">
        <v>0</v>
      </c>
      <c r="Q5" s="1">
        <v>0</v>
      </c>
      <c r="R5" s="1">
        <v>0</v>
      </c>
      <c r="S5" s="1">
        <v>0</v>
      </c>
      <c r="T5" s="1">
        <v>43</v>
      </c>
      <c r="U5" s="1">
        <v>0</v>
      </c>
      <c r="V5" s="1">
        <v>18</v>
      </c>
      <c r="W5" s="1">
        <v>36</v>
      </c>
      <c r="X5">
        <f>SUM(D5:W5)</f>
        <v>227</v>
      </c>
      <c r="Y5">
        <f>COUNT(D5:W5)</f>
        <v>20</v>
      </c>
      <c r="Z5">
        <f t="shared" si="2"/>
        <v>13</v>
      </c>
      <c r="AA5">
        <f t="shared" si="3"/>
        <v>7</v>
      </c>
      <c r="AB5">
        <f t="shared" si="4"/>
        <v>32.428571428571431</v>
      </c>
    </row>
    <row r="6" spans="2:28">
      <c r="C6" t="s">
        <v>33</v>
      </c>
      <c r="D6" s="1">
        <v>0</v>
      </c>
      <c r="E6" s="1">
        <v>0</v>
      </c>
      <c r="F6" s="1">
        <v>0</v>
      </c>
      <c r="G6" s="1">
        <v>40</v>
      </c>
      <c r="H6" s="1">
        <v>34</v>
      </c>
      <c r="I6" s="1">
        <v>36</v>
      </c>
      <c r="J6" s="1">
        <v>36</v>
      </c>
      <c r="K6" s="1">
        <v>0</v>
      </c>
      <c r="L6" s="1">
        <v>0</v>
      </c>
      <c r="M6" s="1">
        <v>28</v>
      </c>
      <c r="N6" s="1">
        <v>0</v>
      </c>
      <c r="O6" s="1">
        <v>30</v>
      </c>
      <c r="P6" s="1"/>
      <c r="Q6" s="1"/>
      <c r="R6" s="1"/>
      <c r="S6" s="1"/>
      <c r="T6" s="1"/>
      <c r="U6" s="1"/>
      <c r="V6" s="1"/>
      <c r="W6" s="1"/>
      <c r="X6">
        <f t="shared" ref="X6:X12" si="5">SUM(D6:W6)</f>
        <v>204</v>
      </c>
      <c r="Y6">
        <f t="shared" ref="Y6:Y12" si="6">COUNT(D6:W6)</f>
        <v>12</v>
      </c>
      <c r="Z6">
        <f t="shared" si="2"/>
        <v>6</v>
      </c>
      <c r="AA6">
        <f t="shared" si="3"/>
        <v>6</v>
      </c>
      <c r="AB6">
        <f t="shared" si="4"/>
        <v>34</v>
      </c>
    </row>
    <row r="7" spans="2:28">
      <c r="C7" t="s">
        <v>34</v>
      </c>
      <c r="D7" s="1">
        <v>27</v>
      </c>
      <c r="E7" s="1">
        <v>34</v>
      </c>
      <c r="F7" s="1">
        <v>45</v>
      </c>
      <c r="G7" s="1">
        <v>28</v>
      </c>
      <c r="H7" s="1">
        <v>40</v>
      </c>
      <c r="I7" s="1">
        <v>0</v>
      </c>
      <c r="J7" s="1">
        <v>29</v>
      </c>
      <c r="K7" s="1"/>
      <c r="L7" s="1"/>
      <c r="M7" s="1"/>
      <c r="N7" s="1"/>
      <c r="O7" s="1"/>
      <c r="P7" s="1"/>
      <c r="Q7" s="1"/>
      <c r="R7" s="1"/>
      <c r="S7" s="1"/>
      <c r="T7" s="1"/>
      <c r="U7" s="1"/>
      <c r="V7" s="1"/>
      <c r="W7" s="1"/>
      <c r="X7">
        <f t="shared" si="5"/>
        <v>203</v>
      </c>
      <c r="Y7">
        <f t="shared" si="6"/>
        <v>7</v>
      </c>
      <c r="Z7">
        <f t="shared" si="2"/>
        <v>1</v>
      </c>
      <c r="AA7">
        <f t="shared" si="3"/>
        <v>6</v>
      </c>
      <c r="AB7">
        <f t="shared" si="4"/>
        <v>33.833333333333336</v>
      </c>
    </row>
    <row r="8" spans="2:28">
      <c r="C8" t="s">
        <v>35</v>
      </c>
      <c r="D8" s="1">
        <v>36</v>
      </c>
      <c r="E8" s="1">
        <v>0</v>
      </c>
      <c r="F8" s="1">
        <v>33</v>
      </c>
      <c r="G8" s="1">
        <v>0</v>
      </c>
      <c r="H8" s="1">
        <v>34</v>
      </c>
      <c r="I8" s="1">
        <v>36</v>
      </c>
      <c r="J8" s="1">
        <v>34</v>
      </c>
      <c r="K8" s="1">
        <v>44</v>
      </c>
      <c r="L8" s="1"/>
      <c r="M8" s="1"/>
      <c r="N8" s="1"/>
      <c r="O8" s="1"/>
      <c r="P8" s="1"/>
      <c r="Q8" s="1"/>
      <c r="R8" s="1"/>
      <c r="S8" s="1"/>
      <c r="T8" s="1"/>
      <c r="U8" s="1"/>
      <c r="V8" s="1"/>
      <c r="W8" s="1"/>
      <c r="X8">
        <f t="shared" si="5"/>
        <v>217</v>
      </c>
      <c r="Y8">
        <f t="shared" si="6"/>
        <v>8</v>
      </c>
      <c r="Z8">
        <f t="shared" si="2"/>
        <v>2</v>
      </c>
      <c r="AA8">
        <f t="shared" si="3"/>
        <v>6</v>
      </c>
      <c r="AB8">
        <f t="shared" si="4"/>
        <v>36.166666666666664</v>
      </c>
    </row>
    <row r="9" spans="2:28">
      <c r="C9" t="s">
        <v>36</v>
      </c>
      <c r="D9" s="1">
        <v>41</v>
      </c>
      <c r="E9" s="1">
        <v>0</v>
      </c>
      <c r="F9" s="1">
        <v>31</v>
      </c>
      <c r="G9" s="1">
        <v>37</v>
      </c>
      <c r="H9" s="1">
        <v>0</v>
      </c>
      <c r="I9" s="1">
        <v>0</v>
      </c>
      <c r="J9" s="1">
        <v>0</v>
      </c>
      <c r="K9" s="1">
        <v>0</v>
      </c>
      <c r="L9" s="1">
        <v>37</v>
      </c>
      <c r="M9" s="1">
        <v>0</v>
      </c>
      <c r="N9" s="1">
        <v>0</v>
      </c>
      <c r="O9" s="1">
        <v>28</v>
      </c>
      <c r="P9" s="1">
        <v>45</v>
      </c>
      <c r="Q9" s="1"/>
      <c r="R9" s="1"/>
      <c r="S9" s="1"/>
      <c r="T9" s="1"/>
      <c r="U9" s="1"/>
      <c r="V9" s="1"/>
      <c r="W9" s="1"/>
      <c r="X9">
        <f t="shared" si="5"/>
        <v>219</v>
      </c>
      <c r="Y9">
        <f t="shared" si="6"/>
        <v>13</v>
      </c>
      <c r="Z9">
        <f t="shared" si="2"/>
        <v>7</v>
      </c>
      <c r="AA9">
        <f t="shared" si="3"/>
        <v>6</v>
      </c>
      <c r="AB9">
        <f t="shared" si="4"/>
        <v>36.5</v>
      </c>
    </row>
    <row r="10" spans="2:28">
      <c r="C10" t="s">
        <v>37</v>
      </c>
      <c r="D10" s="1">
        <v>0</v>
      </c>
      <c r="E10" s="1">
        <v>34</v>
      </c>
      <c r="F10" s="1">
        <v>37</v>
      </c>
      <c r="G10" s="1">
        <v>31</v>
      </c>
      <c r="H10" s="1">
        <v>30</v>
      </c>
      <c r="I10" s="1">
        <v>40</v>
      </c>
      <c r="J10" s="1">
        <v>27</v>
      </c>
      <c r="K10" s="1">
        <v>30</v>
      </c>
      <c r="L10" s="1"/>
      <c r="M10" s="1"/>
      <c r="N10" s="1"/>
      <c r="O10" s="1"/>
      <c r="P10" s="1"/>
      <c r="Q10" s="1"/>
      <c r="R10" s="1"/>
      <c r="S10" s="1"/>
      <c r="T10" s="1"/>
      <c r="U10" s="1"/>
      <c r="V10" s="1"/>
      <c r="W10" s="1"/>
      <c r="X10">
        <f t="shared" si="5"/>
        <v>229</v>
      </c>
      <c r="Y10">
        <f t="shared" si="6"/>
        <v>8</v>
      </c>
      <c r="Z10">
        <f t="shared" si="2"/>
        <v>1</v>
      </c>
      <c r="AA10">
        <f t="shared" si="3"/>
        <v>7</v>
      </c>
      <c r="AB10">
        <f t="shared" si="4"/>
        <v>32.714285714285715</v>
      </c>
    </row>
    <row r="11" spans="2:28">
      <c r="C11" t="s">
        <v>38</v>
      </c>
      <c r="D11" s="1">
        <v>33</v>
      </c>
      <c r="E11" s="1">
        <v>0</v>
      </c>
      <c r="F11" s="1">
        <v>33</v>
      </c>
      <c r="G11" s="1">
        <v>46</v>
      </c>
      <c r="H11" s="1">
        <v>41</v>
      </c>
      <c r="I11" s="1">
        <v>38</v>
      </c>
      <c r="J11" s="1">
        <v>0</v>
      </c>
      <c r="K11" s="1">
        <v>32</v>
      </c>
      <c r="L11" s="1"/>
      <c r="M11" s="1"/>
      <c r="N11" s="1"/>
      <c r="O11" s="1"/>
      <c r="P11" s="1"/>
      <c r="Q11" s="1"/>
      <c r="R11" s="1"/>
      <c r="S11" s="1"/>
      <c r="T11" s="1"/>
      <c r="U11" s="1"/>
      <c r="V11" s="1"/>
      <c r="W11" s="1"/>
      <c r="X11">
        <f t="shared" si="5"/>
        <v>223</v>
      </c>
      <c r="Y11">
        <f t="shared" si="6"/>
        <v>8</v>
      </c>
      <c r="Z11">
        <f t="shared" si="2"/>
        <v>2</v>
      </c>
      <c r="AA11">
        <f t="shared" si="3"/>
        <v>6</v>
      </c>
      <c r="AB11">
        <f t="shared" si="4"/>
        <v>37.166666666666664</v>
      </c>
    </row>
    <row r="12" spans="2:28">
      <c r="C12" t="s">
        <v>39</v>
      </c>
      <c r="D12" s="1">
        <v>42</v>
      </c>
      <c r="E12" s="1">
        <v>0</v>
      </c>
      <c r="F12" s="1">
        <v>0</v>
      </c>
      <c r="G12" s="1">
        <v>0</v>
      </c>
      <c r="H12" s="1">
        <v>0</v>
      </c>
      <c r="I12" s="1">
        <v>0</v>
      </c>
      <c r="J12" s="1">
        <v>37</v>
      </c>
      <c r="K12" s="1">
        <v>0</v>
      </c>
      <c r="L12" s="1">
        <v>0</v>
      </c>
      <c r="M12" s="1">
        <v>0</v>
      </c>
      <c r="N12" s="1">
        <v>0</v>
      </c>
      <c r="O12" s="1">
        <v>0</v>
      </c>
      <c r="P12" s="1">
        <v>39</v>
      </c>
      <c r="Q12" s="1">
        <v>33</v>
      </c>
      <c r="R12" s="1">
        <v>40</v>
      </c>
      <c r="S12" s="1">
        <v>0</v>
      </c>
      <c r="T12" s="1">
        <v>38</v>
      </c>
      <c r="U12" s="1"/>
      <c r="V12" s="1"/>
      <c r="W12" s="1"/>
      <c r="X12">
        <f t="shared" si="5"/>
        <v>229</v>
      </c>
      <c r="Y12">
        <f t="shared" si="6"/>
        <v>17</v>
      </c>
      <c r="Z12">
        <f t="shared" si="2"/>
        <v>11</v>
      </c>
      <c r="AA12">
        <f t="shared" si="3"/>
        <v>6</v>
      </c>
      <c r="AB12">
        <f t="shared" si="4"/>
        <v>38.166666666666664</v>
      </c>
    </row>
    <row r="13" spans="2:28">
      <c r="X13" t="s">
        <v>52</v>
      </c>
      <c r="Y13">
        <f>AVERAGE(Y3:Y12)</f>
        <v>11.3</v>
      </c>
      <c r="Z13">
        <f t="shared" ref="Z13:AB13" si="7">AVERAGE(Z3:Z12)</f>
        <v>5.0999999999999996</v>
      </c>
      <c r="AA13">
        <f t="shared" si="7"/>
        <v>6.2</v>
      </c>
      <c r="AB13">
        <f t="shared" si="7"/>
        <v>35.230952380952388</v>
      </c>
    </row>
  </sheetData>
  <phoneticPr fontId="3" type="noConversion"/>
  <conditionalFormatting sqref="D3:W12">
    <cfRule type="colorScale" priority="1">
      <colorScale>
        <cfvo type="min"/>
        <cfvo type="max"/>
        <color rgb="FFFF7128"/>
        <color theme="9"/>
      </colorScale>
    </cfRule>
    <cfRule type="cellIs" dxfId="8"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26DD2-4504-40C1-A5C3-445DFA188708}">
  <dimension ref="B2:AB13"/>
  <sheetViews>
    <sheetView topLeftCell="B1" workbookViewId="0">
      <selection activeCell="Z19" sqref="Z19"/>
    </sheetView>
  </sheetViews>
  <sheetFormatPr defaultRowHeight="15"/>
  <cols>
    <col min="2" max="2" width="25.28515625" bestFit="1" customWidth="1"/>
  </cols>
  <sheetData>
    <row r="2" spans="2:28">
      <c r="B2" t="s">
        <v>66</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38</v>
      </c>
      <c r="E3" s="1">
        <v>0</v>
      </c>
      <c r="F3" s="1">
        <v>0</v>
      </c>
      <c r="G3" s="1">
        <v>34</v>
      </c>
      <c r="H3" s="1">
        <v>34</v>
      </c>
      <c r="I3" s="1">
        <v>0</v>
      </c>
      <c r="J3" s="1">
        <v>34</v>
      </c>
      <c r="K3" s="1">
        <v>51</v>
      </c>
      <c r="L3" s="1">
        <v>37</v>
      </c>
      <c r="M3" s="1"/>
      <c r="N3" s="1"/>
      <c r="O3" s="1"/>
      <c r="P3" s="1"/>
      <c r="Q3" s="1"/>
      <c r="R3" s="1"/>
      <c r="S3" s="1"/>
      <c r="T3" s="1"/>
      <c r="U3" s="1"/>
      <c r="V3" s="1"/>
      <c r="W3" s="1"/>
      <c r="X3">
        <f t="shared" ref="X3:X6" si="0">SUM(D3:W3)</f>
        <v>228</v>
      </c>
      <c r="Y3">
        <f t="shared" ref="Y3:Y11" si="1">COUNT(D3:W3)</f>
        <v>9</v>
      </c>
      <c r="Z3">
        <f t="shared" ref="Z3:Z6" si="2">COUNTIF(D3:W3,0)</f>
        <v>3</v>
      </c>
      <c r="AA3">
        <f>Y3-Z3</f>
        <v>6</v>
      </c>
      <c r="AB3">
        <f>X3/AA3</f>
        <v>38</v>
      </c>
    </row>
    <row r="4" spans="2:28">
      <c r="C4" t="s">
        <v>31</v>
      </c>
      <c r="D4" s="1">
        <v>0</v>
      </c>
      <c r="E4" s="1">
        <v>49</v>
      </c>
      <c r="F4" s="1">
        <v>0</v>
      </c>
      <c r="G4" s="1">
        <v>0</v>
      </c>
      <c r="H4" s="1">
        <v>0</v>
      </c>
      <c r="I4" s="1">
        <v>48</v>
      </c>
      <c r="J4" s="1">
        <v>46</v>
      </c>
      <c r="K4" s="1">
        <v>0</v>
      </c>
      <c r="L4" s="1">
        <v>36</v>
      </c>
      <c r="M4" s="1">
        <v>0</v>
      </c>
      <c r="N4" s="1">
        <v>43</v>
      </c>
      <c r="O4" s="1"/>
      <c r="P4" s="1"/>
      <c r="Q4" s="1"/>
      <c r="R4" s="1"/>
      <c r="S4" s="1"/>
      <c r="T4" s="1"/>
      <c r="U4" s="1"/>
      <c r="V4" s="1"/>
      <c r="W4" s="1"/>
      <c r="X4">
        <f t="shared" si="0"/>
        <v>222</v>
      </c>
      <c r="Y4">
        <f t="shared" si="1"/>
        <v>11</v>
      </c>
      <c r="Z4">
        <f t="shared" si="2"/>
        <v>6</v>
      </c>
      <c r="AA4">
        <f t="shared" ref="AA4:AA12" si="3">Y4-Z4</f>
        <v>5</v>
      </c>
      <c r="AB4">
        <f t="shared" ref="AB4:AB12" si="4">X4/AA4</f>
        <v>44.4</v>
      </c>
    </row>
    <row r="5" spans="2:28">
      <c r="C5" t="s">
        <v>32</v>
      </c>
      <c r="D5" s="1">
        <v>0</v>
      </c>
      <c r="E5" s="1">
        <v>0</v>
      </c>
      <c r="F5" s="1">
        <v>38</v>
      </c>
      <c r="G5" s="1">
        <v>33</v>
      </c>
      <c r="H5" s="1">
        <v>50</v>
      </c>
      <c r="I5" s="1">
        <v>42</v>
      </c>
      <c r="J5" s="1">
        <v>0</v>
      </c>
      <c r="K5" s="1">
        <v>45</v>
      </c>
      <c r="L5" s="1"/>
      <c r="M5" s="1"/>
      <c r="N5" s="1"/>
      <c r="O5" s="1"/>
      <c r="P5" s="1"/>
      <c r="Q5" s="1"/>
      <c r="R5" s="1"/>
      <c r="S5" s="1"/>
      <c r="T5" s="1"/>
      <c r="U5" s="1"/>
      <c r="V5" s="1"/>
      <c r="W5" s="1"/>
      <c r="X5">
        <f t="shared" si="0"/>
        <v>208</v>
      </c>
      <c r="Y5">
        <f t="shared" si="1"/>
        <v>8</v>
      </c>
      <c r="Z5">
        <f t="shared" si="2"/>
        <v>3</v>
      </c>
      <c r="AA5">
        <f t="shared" si="3"/>
        <v>5</v>
      </c>
      <c r="AB5">
        <f t="shared" si="4"/>
        <v>41.6</v>
      </c>
    </row>
    <row r="6" spans="2:28">
      <c r="C6" t="s">
        <v>33</v>
      </c>
      <c r="D6" s="1">
        <v>0</v>
      </c>
      <c r="E6" s="1">
        <v>0</v>
      </c>
      <c r="F6" s="1">
        <v>0</v>
      </c>
      <c r="G6" s="1">
        <v>37</v>
      </c>
      <c r="H6" s="1">
        <v>0</v>
      </c>
      <c r="I6" s="1">
        <v>0</v>
      </c>
      <c r="J6" s="1">
        <v>36</v>
      </c>
      <c r="K6" s="1">
        <v>42</v>
      </c>
      <c r="L6" s="1">
        <v>39</v>
      </c>
      <c r="M6" s="1">
        <v>39</v>
      </c>
      <c r="N6" s="1">
        <v>0</v>
      </c>
      <c r="O6" s="1">
        <v>39</v>
      </c>
      <c r="P6" s="1"/>
      <c r="Q6" s="1"/>
      <c r="R6" s="1"/>
      <c r="S6" s="1"/>
      <c r="T6" s="1"/>
      <c r="U6" s="1"/>
      <c r="V6" s="1"/>
      <c r="W6" s="1"/>
      <c r="X6">
        <f t="shared" si="0"/>
        <v>232</v>
      </c>
      <c r="Y6">
        <f t="shared" si="1"/>
        <v>12</v>
      </c>
      <c r="Z6">
        <f t="shared" si="2"/>
        <v>6</v>
      </c>
      <c r="AA6">
        <f t="shared" si="3"/>
        <v>6</v>
      </c>
      <c r="AB6">
        <f t="shared" si="4"/>
        <v>38.666666666666664</v>
      </c>
    </row>
    <row r="7" spans="2:28">
      <c r="C7" t="s">
        <v>34</v>
      </c>
      <c r="D7" s="1">
        <v>0</v>
      </c>
      <c r="E7" s="1">
        <v>0</v>
      </c>
      <c r="F7" s="1">
        <v>0</v>
      </c>
      <c r="G7" s="1">
        <v>33</v>
      </c>
      <c r="H7" s="1">
        <v>0</v>
      </c>
      <c r="I7" s="1">
        <v>0</v>
      </c>
      <c r="J7" s="1">
        <v>39</v>
      </c>
      <c r="K7" s="1">
        <v>0</v>
      </c>
      <c r="L7" s="1">
        <v>0</v>
      </c>
      <c r="M7" s="1">
        <v>0</v>
      </c>
      <c r="N7" s="1">
        <v>0</v>
      </c>
      <c r="O7" s="1">
        <v>0</v>
      </c>
      <c r="P7" s="1">
        <v>0</v>
      </c>
      <c r="Q7" s="1">
        <v>0</v>
      </c>
      <c r="R7" s="1">
        <v>40</v>
      </c>
      <c r="S7" s="1">
        <v>0</v>
      </c>
      <c r="T7" s="1">
        <v>0</v>
      </c>
      <c r="U7" s="1">
        <v>43</v>
      </c>
      <c r="V7" s="1">
        <v>40</v>
      </c>
      <c r="W7" s="1">
        <v>46</v>
      </c>
      <c r="X7">
        <f>SUM(D7:W7)</f>
        <v>241</v>
      </c>
      <c r="Y7">
        <f>COUNT(D7:W7)</f>
        <v>20</v>
      </c>
      <c r="Z7">
        <f>COUNTIF(D7:W7,0)</f>
        <v>14</v>
      </c>
      <c r="AA7">
        <f t="shared" si="3"/>
        <v>6</v>
      </c>
      <c r="AB7">
        <f t="shared" si="4"/>
        <v>40.166666666666664</v>
      </c>
    </row>
    <row r="8" spans="2:28">
      <c r="C8" t="s">
        <v>35</v>
      </c>
      <c r="D8" s="1">
        <v>0</v>
      </c>
      <c r="E8" s="1">
        <v>38</v>
      </c>
      <c r="F8" s="1">
        <v>41</v>
      </c>
      <c r="G8" s="1">
        <v>43</v>
      </c>
      <c r="H8" s="1">
        <v>33</v>
      </c>
      <c r="I8" s="1">
        <v>0</v>
      </c>
      <c r="J8" s="1">
        <v>0</v>
      </c>
      <c r="K8" s="1">
        <v>0</v>
      </c>
      <c r="L8" s="1">
        <v>64</v>
      </c>
      <c r="M8" s="1"/>
      <c r="N8" s="1"/>
      <c r="O8" s="1"/>
      <c r="P8" s="1"/>
      <c r="Q8" s="1"/>
      <c r="R8" s="1"/>
      <c r="S8" s="1"/>
      <c r="T8" s="1"/>
      <c r="U8" s="1"/>
      <c r="V8" s="1"/>
      <c r="W8" s="1"/>
      <c r="X8">
        <f t="shared" ref="X8:X12" si="5">SUM(D8:W8)</f>
        <v>219</v>
      </c>
      <c r="Y8">
        <f t="shared" si="1"/>
        <v>9</v>
      </c>
      <c r="Z8">
        <f t="shared" ref="Z8:Z12" si="6">COUNTIF(D8:W8,0)</f>
        <v>4</v>
      </c>
      <c r="AA8">
        <f t="shared" si="3"/>
        <v>5</v>
      </c>
      <c r="AB8">
        <f t="shared" si="4"/>
        <v>43.8</v>
      </c>
    </row>
    <row r="9" spans="2:28">
      <c r="C9" t="s">
        <v>36</v>
      </c>
      <c r="D9" s="1">
        <v>0</v>
      </c>
      <c r="E9" s="1">
        <v>35</v>
      </c>
      <c r="F9" s="1">
        <v>39</v>
      </c>
      <c r="G9" s="1">
        <v>0</v>
      </c>
      <c r="H9" s="1">
        <v>0</v>
      </c>
      <c r="I9" s="1">
        <v>29</v>
      </c>
      <c r="J9" s="1">
        <v>47</v>
      </c>
      <c r="K9" s="1">
        <v>37</v>
      </c>
      <c r="L9" s="1">
        <v>34</v>
      </c>
      <c r="M9" s="1"/>
      <c r="N9" s="1"/>
      <c r="O9" s="1"/>
      <c r="P9" s="1"/>
      <c r="Q9" s="1"/>
      <c r="R9" s="1"/>
      <c r="S9" s="1"/>
      <c r="T9" s="1"/>
      <c r="U9" s="1"/>
      <c r="V9" s="1"/>
      <c r="W9" s="1"/>
      <c r="X9">
        <f t="shared" si="5"/>
        <v>221</v>
      </c>
      <c r="Y9">
        <f t="shared" si="1"/>
        <v>9</v>
      </c>
      <c r="Z9">
        <f t="shared" si="6"/>
        <v>3</v>
      </c>
      <c r="AA9">
        <f t="shared" si="3"/>
        <v>6</v>
      </c>
      <c r="AB9">
        <f t="shared" si="4"/>
        <v>36.833333333333336</v>
      </c>
    </row>
    <row r="10" spans="2:28">
      <c r="C10" t="s">
        <v>37</v>
      </c>
      <c r="D10" s="1">
        <v>0</v>
      </c>
      <c r="E10" s="1">
        <v>51</v>
      </c>
      <c r="F10" s="1">
        <v>0</v>
      </c>
      <c r="G10" s="1">
        <v>0</v>
      </c>
      <c r="H10" s="1">
        <v>45</v>
      </c>
      <c r="I10" s="1">
        <v>50</v>
      </c>
      <c r="J10" s="1">
        <v>0</v>
      </c>
      <c r="K10" s="1">
        <v>0</v>
      </c>
      <c r="L10" s="1">
        <v>32</v>
      </c>
      <c r="M10" s="1">
        <v>0</v>
      </c>
      <c r="N10" s="1">
        <v>28</v>
      </c>
      <c r="O10" s="1"/>
      <c r="P10" s="1"/>
      <c r="Q10" s="1"/>
      <c r="R10" s="1"/>
      <c r="S10" s="1"/>
      <c r="T10" s="1"/>
      <c r="U10" s="1"/>
      <c r="V10" s="1"/>
      <c r="W10" s="1"/>
      <c r="X10">
        <f t="shared" si="5"/>
        <v>206</v>
      </c>
      <c r="Y10">
        <f t="shared" si="1"/>
        <v>11</v>
      </c>
      <c r="Z10">
        <f t="shared" si="6"/>
        <v>6</v>
      </c>
      <c r="AA10">
        <f t="shared" si="3"/>
        <v>5</v>
      </c>
      <c r="AB10">
        <f t="shared" si="4"/>
        <v>41.2</v>
      </c>
    </row>
    <row r="11" spans="2:28">
      <c r="C11" t="s">
        <v>38</v>
      </c>
      <c r="D11" s="1">
        <v>0</v>
      </c>
      <c r="E11" s="1">
        <v>39</v>
      </c>
      <c r="F11" s="1">
        <v>34</v>
      </c>
      <c r="G11" s="1">
        <v>0</v>
      </c>
      <c r="H11" s="1">
        <v>0</v>
      </c>
      <c r="I11" s="1">
        <v>0</v>
      </c>
      <c r="J11" s="1">
        <v>0</v>
      </c>
      <c r="K11" s="1">
        <v>0</v>
      </c>
      <c r="L11" s="1">
        <v>49</v>
      </c>
      <c r="M11" s="1">
        <v>33</v>
      </c>
      <c r="N11" s="1">
        <v>0</v>
      </c>
      <c r="O11" s="1">
        <v>0</v>
      </c>
      <c r="P11" s="1">
        <v>0</v>
      </c>
      <c r="Q11" s="1">
        <v>0</v>
      </c>
      <c r="R11" s="1">
        <v>32</v>
      </c>
      <c r="S11" s="1">
        <v>31</v>
      </c>
      <c r="T11" s="1"/>
      <c r="U11" s="1"/>
      <c r="V11" s="1"/>
      <c r="W11" s="1"/>
      <c r="X11">
        <f t="shared" si="5"/>
        <v>218</v>
      </c>
      <c r="Y11">
        <f t="shared" si="1"/>
        <v>16</v>
      </c>
      <c r="Z11">
        <f t="shared" si="6"/>
        <v>10</v>
      </c>
      <c r="AA11">
        <f t="shared" si="3"/>
        <v>6</v>
      </c>
      <c r="AB11">
        <f t="shared" si="4"/>
        <v>36.333333333333336</v>
      </c>
    </row>
    <row r="12" spans="2:28">
      <c r="C12" t="s">
        <v>39</v>
      </c>
      <c r="D12" s="1">
        <v>0</v>
      </c>
      <c r="E12" s="1">
        <v>45</v>
      </c>
      <c r="F12" s="1">
        <v>0</v>
      </c>
      <c r="G12" s="1">
        <v>0</v>
      </c>
      <c r="H12" s="1">
        <v>0</v>
      </c>
      <c r="I12" s="1">
        <v>0</v>
      </c>
      <c r="J12" s="1">
        <v>0</v>
      </c>
      <c r="K12" s="1">
        <v>0</v>
      </c>
      <c r="L12" s="1">
        <v>41</v>
      </c>
      <c r="M12" s="1">
        <v>0</v>
      </c>
      <c r="N12" s="1">
        <v>0</v>
      </c>
      <c r="O12" s="1">
        <v>62</v>
      </c>
      <c r="P12" s="1">
        <v>32</v>
      </c>
      <c r="Q12" s="1">
        <v>36</v>
      </c>
      <c r="R12" s="1"/>
      <c r="S12" s="1"/>
      <c r="T12" s="1"/>
      <c r="U12" s="1"/>
      <c r="V12" s="1"/>
      <c r="W12" s="1"/>
      <c r="X12">
        <f t="shared" si="5"/>
        <v>216</v>
      </c>
      <c r="Y12">
        <f>COUNT(D12:W12)</f>
        <v>14</v>
      </c>
      <c r="Z12">
        <f t="shared" si="6"/>
        <v>9</v>
      </c>
      <c r="AA12">
        <f t="shared" si="3"/>
        <v>5</v>
      </c>
      <c r="AB12">
        <f t="shared" si="4"/>
        <v>43.2</v>
      </c>
    </row>
    <row r="13" spans="2:28">
      <c r="X13" t="s">
        <v>52</v>
      </c>
      <c r="Y13">
        <f>AVERAGE(Y3:Y12)</f>
        <v>11.9</v>
      </c>
      <c r="Z13">
        <f t="shared" ref="Z13:AB13" si="7">AVERAGE(Z3:Z12)</f>
        <v>6.4</v>
      </c>
      <c r="AA13">
        <f t="shared" si="7"/>
        <v>5.5</v>
      </c>
      <c r="AB13">
        <f t="shared" si="7"/>
        <v>40.419999999999995</v>
      </c>
    </row>
  </sheetData>
  <phoneticPr fontId="3" type="noConversion"/>
  <conditionalFormatting sqref="D3:W12">
    <cfRule type="colorScale" priority="1">
      <colorScale>
        <cfvo type="min"/>
        <cfvo type="max"/>
        <color rgb="FFFF7128"/>
        <color theme="9"/>
      </colorScale>
    </cfRule>
    <cfRule type="cellIs" dxfId="7"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B32A4-1EBE-4956-906B-8B98B23CB2FE}">
  <dimension ref="B2:AB13"/>
  <sheetViews>
    <sheetView topLeftCell="O1" workbookViewId="0">
      <selection activeCell="Y13" sqref="Y13"/>
    </sheetView>
  </sheetViews>
  <sheetFormatPr defaultRowHeight="15"/>
  <cols>
    <col min="2" max="2" width="25.28515625" bestFit="1" customWidth="1"/>
  </cols>
  <sheetData>
    <row r="2" spans="2:28">
      <c r="B2" t="s">
        <v>67</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0</v>
      </c>
      <c r="E3" s="1">
        <v>68</v>
      </c>
      <c r="F3" s="1">
        <v>0</v>
      </c>
      <c r="G3" s="1">
        <v>50</v>
      </c>
      <c r="H3" s="1">
        <v>39</v>
      </c>
      <c r="I3" s="1">
        <v>40</v>
      </c>
      <c r="J3" s="1">
        <v>41</v>
      </c>
      <c r="K3" s="1"/>
      <c r="L3" s="1"/>
      <c r="M3" s="1"/>
      <c r="N3" s="1"/>
      <c r="O3" s="1"/>
      <c r="P3" s="1"/>
      <c r="Q3" s="1"/>
      <c r="R3" s="1"/>
      <c r="S3" s="1"/>
      <c r="T3" s="1"/>
      <c r="U3" s="1"/>
      <c r="V3" s="1"/>
      <c r="W3" s="1"/>
      <c r="X3">
        <f>SUM(D3:W3)</f>
        <v>238</v>
      </c>
      <c r="Y3">
        <f>COUNT(D3:W3)</f>
        <v>7</v>
      </c>
      <c r="Z3">
        <f>COUNTIF(D3:W3,0)</f>
        <v>2</v>
      </c>
      <c r="AA3">
        <f>Y3-Z3</f>
        <v>5</v>
      </c>
      <c r="AB3">
        <f>X3/AA3</f>
        <v>47.6</v>
      </c>
    </row>
    <row r="4" spans="2:28">
      <c r="C4" t="s">
        <v>31</v>
      </c>
      <c r="D4" s="1">
        <v>42</v>
      </c>
      <c r="E4" s="1">
        <v>0</v>
      </c>
      <c r="F4" s="1">
        <v>0</v>
      </c>
      <c r="G4" s="1">
        <v>42</v>
      </c>
      <c r="H4" s="1">
        <v>0</v>
      </c>
      <c r="I4" s="1">
        <v>0</v>
      </c>
      <c r="J4" s="1">
        <v>0</v>
      </c>
      <c r="K4" s="1">
        <v>55</v>
      </c>
      <c r="L4" s="1">
        <v>45</v>
      </c>
      <c r="M4" s="1">
        <v>0</v>
      </c>
      <c r="N4" s="1">
        <v>0</v>
      </c>
      <c r="O4" s="1">
        <v>0</v>
      </c>
      <c r="P4" s="1">
        <v>0</v>
      </c>
      <c r="Q4" s="1">
        <v>0</v>
      </c>
      <c r="R4" s="1">
        <v>0</v>
      </c>
      <c r="S4" s="1">
        <v>0</v>
      </c>
      <c r="T4" s="1">
        <v>0</v>
      </c>
      <c r="U4" s="1">
        <v>0</v>
      </c>
      <c r="V4" s="1">
        <v>34</v>
      </c>
      <c r="W4" s="1"/>
      <c r="X4">
        <f>SUM(D4:W4)</f>
        <v>218</v>
      </c>
      <c r="Y4">
        <f>COUNT(D4:W4)</f>
        <v>19</v>
      </c>
      <c r="Z4">
        <f>COUNTIF(D4:W4,0)</f>
        <v>14</v>
      </c>
      <c r="AA4">
        <f t="shared" ref="AA4:AA12" si="0">Y4-Z4</f>
        <v>5</v>
      </c>
      <c r="AB4">
        <f t="shared" ref="AB4:AB12" si="1">X4/AA4</f>
        <v>43.6</v>
      </c>
    </row>
    <row r="5" spans="2:28">
      <c r="C5" t="s">
        <v>32</v>
      </c>
      <c r="D5" s="1">
        <v>41</v>
      </c>
      <c r="E5" s="1">
        <v>0</v>
      </c>
      <c r="F5" s="1">
        <v>45</v>
      </c>
      <c r="G5" s="1">
        <v>0</v>
      </c>
      <c r="H5" s="1">
        <v>0</v>
      </c>
      <c r="I5" s="1">
        <v>36</v>
      </c>
      <c r="J5" s="1">
        <v>35</v>
      </c>
      <c r="K5" s="1">
        <v>44</v>
      </c>
      <c r="L5" s="1"/>
      <c r="M5" s="1"/>
      <c r="N5" s="1"/>
      <c r="O5" s="1"/>
      <c r="P5" s="1"/>
      <c r="Q5" s="1"/>
      <c r="R5" s="1"/>
      <c r="S5" s="1"/>
      <c r="T5" s="1"/>
      <c r="U5" s="1"/>
      <c r="V5" s="1"/>
      <c r="W5" s="1"/>
      <c r="X5">
        <f t="shared" ref="X5:X12" si="2">SUM(D5:W5)</f>
        <v>201</v>
      </c>
      <c r="Y5">
        <f t="shared" ref="Y5:Y12" si="3">COUNT(D5:W5)</f>
        <v>8</v>
      </c>
      <c r="Z5">
        <f t="shared" ref="Z5:Z12" si="4">COUNTIF(D5:W5,0)</f>
        <v>3</v>
      </c>
      <c r="AA5">
        <f t="shared" si="0"/>
        <v>5</v>
      </c>
      <c r="AB5">
        <f t="shared" si="1"/>
        <v>40.200000000000003</v>
      </c>
    </row>
    <row r="6" spans="2:28">
      <c r="C6" t="s">
        <v>33</v>
      </c>
      <c r="D6" s="1">
        <v>43</v>
      </c>
      <c r="E6" s="1">
        <v>38</v>
      </c>
      <c r="F6" s="1">
        <v>0</v>
      </c>
      <c r="G6" s="1">
        <v>50</v>
      </c>
      <c r="H6" s="1">
        <v>37</v>
      </c>
      <c r="I6" s="1">
        <v>46</v>
      </c>
      <c r="J6" s="1"/>
      <c r="K6" s="1"/>
      <c r="L6" s="1"/>
      <c r="M6" s="1"/>
      <c r="N6" s="1"/>
      <c r="O6" s="1"/>
      <c r="P6" s="1"/>
      <c r="Q6" s="1"/>
      <c r="R6" s="1"/>
      <c r="S6" s="1"/>
      <c r="T6" s="1"/>
      <c r="U6" s="1"/>
      <c r="V6" s="1"/>
      <c r="W6" s="1"/>
      <c r="X6">
        <f t="shared" si="2"/>
        <v>214</v>
      </c>
      <c r="Y6">
        <f t="shared" si="3"/>
        <v>6</v>
      </c>
      <c r="Z6">
        <f t="shared" si="4"/>
        <v>1</v>
      </c>
      <c r="AA6">
        <f t="shared" si="0"/>
        <v>5</v>
      </c>
      <c r="AB6">
        <f t="shared" si="1"/>
        <v>42.8</v>
      </c>
    </row>
    <row r="7" spans="2:28">
      <c r="C7" t="s">
        <v>34</v>
      </c>
      <c r="D7" s="1">
        <v>0</v>
      </c>
      <c r="E7" s="1">
        <v>42</v>
      </c>
      <c r="F7" s="1">
        <v>0</v>
      </c>
      <c r="G7" s="1">
        <v>45</v>
      </c>
      <c r="H7" s="1">
        <v>43</v>
      </c>
      <c r="I7" s="1">
        <v>0</v>
      </c>
      <c r="J7" s="1">
        <v>48</v>
      </c>
      <c r="K7" s="1">
        <v>45</v>
      </c>
      <c r="L7" s="1"/>
      <c r="M7" s="1"/>
      <c r="N7" s="1"/>
      <c r="O7" s="1"/>
      <c r="P7" s="1"/>
      <c r="Q7" s="1"/>
      <c r="R7" s="1"/>
      <c r="S7" s="1"/>
      <c r="T7" s="1"/>
      <c r="U7" s="1"/>
      <c r="V7" s="1"/>
      <c r="W7" s="1"/>
      <c r="X7">
        <f t="shared" si="2"/>
        <v>223</v>
      </c>
      <c r="Y7">
        <f t="shared" si="3"/>
        <v>8</v>
      </c>
      <c r="Z7">
        <f t="shared" si="4"/>
        <v>3</v>
      </c>
      <c r="AA7">
        <f t="shared" si="0"/>
        <v>5</v>
      </c>
      <c r="AB7">
        <f t="shared" si="1"/>
        <v>44.6</v>
      </c>
    </row>
    <row r="8" spans="2:28">
      <c r="C8" t="s">
        <v>35</v>
      </c>
      <c r="D8" s="1">
        <v>0</v>
      </c>
      <c r="E8" s="1">
        <v>0</v>
      </c>
      <c r="F8" s="1">
        <v>0</v>
      </c>
      <c r="G8" s="1">
        <v>82</v>
      </c>
      <c r="H8" s="1">
        <v>0</v>
      </c>
      <c r="I8" s="1">
        <v>46</v>
      </c>
      <c r="J8" s="1">
        <v>0</v>
      </c>
      <c r="K8" s="1">
        <v>42</v>
      </c>
      <c r="L8" s="1">
        <v>0</v>
      </c>
      <c r="M8" s="1">
        <v>39</v>
      </c>
      <c r="N8" s="1"/>
      <c r="O8" s="1"/>
      <c r="P8" s="1"/>
      <c r="Q8" s="1"/>
      <c r="R8" s="1"/>
      <c r="S8" s="1"/>
      <c r="T8" s="1"/>
      <c r="U8" s="1"/>
      <c r="V8" s="1"/>
      <c r="W8" s="1"/>
      <c r="X8">
        <f t="shared" si="2"/>
        <v>209</v>
      </c>
      <c r="Y8">
        <f t="shared" si="3"/>
        <v>10</v>
      </c>
      <c r="Z8">
        <f t="shared" si="4"/>
        <v>6</v>
      </c>
      <c r="AA8">
        <f t="shared" si="0"/>
        <v>4</v>
      </c>
      <c r="AB8">
        <f t="shared" si="1"/>
        <v>52.25</v>
      </c>
    </row>
    <row r="9" spans="2:28">
      <c r="C9" t="s">
        <v>36</v>
      </c>
      <c r="D9" s="1">
        <v>0</v>
      </c>
      <c r="E9" s="1">
        <v>0</v>
      </c>
      <c r="F9" s="1">
        <v>0</v>
      </c>
      <c r="G9" s="1">
        <v>0</v>
      </c>
      <c r="H9" s="1">
        <v>39</v>
      </c>
      <c r="I9" s="1">
        <v>37</v>
      </c>
      <c r="J9" s="1">
        <v>44</v>
      </c>
      <c r="K9" s="1">
        <v>42</v>
      </c>
      <c r="L9" s="1">
        <v>51</v>
      </c>
      <c r="M9" s="1"/>
      <c r="N9" s="1"/>
      <c r="O9" s="1"/>
      <c r="P9" s="1"/>
      <c r="Q9" s="1"/>
      <c r="R9" s="1"/>
      <c r="S9" s="1"/>
      <c r="T9" s="1"/>
      <c r="U9" s="1"/>
      <c r="V9" s="1"/>
      <c r="W9" s="1"/>
      <c r="X9">
        <f t="shared" si="2"/>
        <v>213</v>
      </c>
      <c r="Y9">
        <f t="shared" si="3"/>
        <v>9</v>
      </c>
      <c r="Z9">
        <f t="shared" si="4"/>
        <v>4</v>
      </c>
      <c r="AA9">
        <f t="shared" si="0"/>
        <v>5</v>
      </c>
      <c r="AB9">
        <f t="shared" si="1"/>
        <v>42.6</v>
      </c>
    </row>
    <row r="10" spans="2:28">
      <c r="C10" t="s">
        <v>37</v>
      </c>
      <c r="D10" s="1">
        <v>39</v>
      </c>
      <c r="E10" s="1">
        <v>0</v>
      </c>
      <c r="F10" s="1">
        <v>0</v>
      </c>
      <c r="G10" s="1">
        <v>37</v>
      </c>
      <c r="H10" s="1">
        <v>0</v>
      </c>
      <c r="I10" s="1">
        <v>0</v>
      </c>
      <c r="J10" s="1">
        <v>0</v>
      </c>
      <c r="K10" s="1">
        <v>0</v>
      </c>
      <c r="L10" s="1">
        <v>33</v>
      </c>
      <c r="M10" s="1">
        <v>0</v>
      </c>
      <c r="N10" s="1">
        <v>0</v>
      </c>
      <c r="O10" s="1">
        <v>0</v>
      </c>
      <c r="P10" s="1">
        <v>0</v>
      </c>
      <c r="Q10" s="1">
        <v>40</v>
      </c>
      <c r="R10" s="1">
        <v>0</v>
      </c>
      <c r="S10" s="1">
        <v>51</v>
      </c>
      <c r="T10" s="1"/>
      <c r="U10" s="1"/>
      <c r="V10" s="1"/>
      <c r="W10" s="1"/>
      <c r="X10">
        <f t="shared" si="2"/>
        <v>200</v>
      </c>
      <c r="Y10">
        <f t="shared" si="3"/>
        <v>16</v>
      </c>
      <c r="Z10">
        <f t="shared" si="4"/>
        <v>11</v>
      </c>
      <c r="AA10">
        <f t="shared" si="0"/>
        <v>5</v>
      </c>
      <c r="AB10">
        <f t="shared" si="1"/>
        <v>40</v>
      </c>
    </row>
    <row r="11" spans="2:28">
      <c r="C11" t="s">
        <v>38</v>
      </c>
      <c r="D11" s="1">
        <v>0</v>
      </c>
      <c r="E11" s="1">
        <v>40</v>
      </c>
      <c r="F11" s="1">
        <v>38</v>
      </c>
      <c r="G11" s="1">
        <v>0</v>
      </c>
      <c r="H11" s="1">
        <v>0</v>
      </c>
      <c r="I11" s="1">
        <v>0</v>
      </c>
      <c r="J11" s="1">
        <v>0</v>
      </c>
      <c r="K11" s="1">
        <v>0</v>
      </c>
      <c r="L11" s="1">
        <v>45</v>
      </c>
      <c r="M11" s="1">
        <v>46</v>
      </c>
      <c r="N11" s="1">
        <v>0</v>
      </c>
      <c r="O11" s="1">
        <v>39</v>
      </c>
      <c r="P11" s="1"/>
      <c r="Q11" s="1"/>
      <c r="R11" s="1"/>
      <c r="S11" s="1"/>
      <c r="T11" s="1"/>
      <c r="U11" s="1"/>
      <c r="V11" s="1"/>
      <c r="W11" s="1"/>
      <c r="X11">
        <f t="shared" si="2"/>
        <v>208</v>
      </c>
      <c r="Y11">
        <f t="shared" si="3"/>
        <v>12</v>
      </c>
      <c r="Z11">
        <f t="shared" si="4"/>
        <v>7</v>
      </c>
      <c r="AA11">
        <f t="shared" si="0"/>
        <v>5</v>
      </c>
      <c r="AB11">
        <f t="shared" si="1"/>
        <v>41.6</v>
      </c>
    </row>
    <row r="12" spans="2:28">
      <c r="C12" t="s">
        <v>39</v>
      </c>
      <c r="D12" s="1">
        <v>45</v>
      </c>
      <c r="E12" s="1">
        <v>46</v>
      </c>
      <c r="F12" s="1">
        <v>45</v>
      </c>
      <c r="G12" s="1">
        <v>0</v>
      </c>
      <c r="H12" s="1">
        <v>51</v>
      </c>
      <c r="I12" s="1">
        <v>0</v>
      </c>
      <c r="J12" s="1">
        <v>0</v>
      </c>
      <c r="K12" s="1">
        <v>0</v>
      </c>
      <c r="L12" s="1">
        <v>54</v>
      </c>
      <c r="M12" s="1"/>
      <c r="N12" s="1"/>
      <c r="O12" s="1"/>
      <c r="P12" s="1"/>
      <c r="Q12" s="1"/>
      <c r="R12" s="1"/>
      <c r="S12" s="1"/>
      <c r="T12" s="1"/>
      <c r="U12" s="1"/>
      <c r="V12" s="1"/>
      <c r="W12" s="1"/>
      <c r="X12">
        <f t="shared" si="2"/>
        <v>241</v>
      </c>
      <c r="Y12">
        <f t="shared" si="3"/>
        <v>9</v>
      </c>
      <c r="Z12">
        <f t="shared" si="4"/>
        <v>4</v>
      </c>
      <c r="AA12">
        <f t="shared" si="0"/>
        <v>5</v>
      </c>
      <c r="AB12">
        <f t="shared" si="1"/>
        <v>48.2</v>
      </c>
    </row>
    <row r="13" spans="2:28">
      <c r="X13" t="s">
        <v>52</v>
      </c>
      <c r="Y13">
        <f>AVERAGE(Y3:Y12)</f>
        <v>10.4</v>
      </c>
      <c r="Z13">
        <f t="shared" ref="Z13:AB13" si="5">AVERAGE(Z3:Z12)</f>
        <v>5.5</v>
      </c>
      <c r="AA13">
        <f t="shared" si="5"/>
        <v>4.9000000000000004</v>
      </c>
      <c r="AB13">
        <f t="shared" si="5"/>
        <v>44.344999999999999</v>
      </c>
    </row>
  </sheetData>
  <phoneticPr fontId="3" type="noConversion"/>
  <conditionalFormatting sqref="D3:W12">
    <cfRule type="colorScale" priority="1">
      <colorScale>
        <cfvo type="min"/>
        <cfvo type="max"/>
        <color rgb="FFFF7128"/>
        <color theme="9"/>
      </colorScale>
    </cfRule>
    <cfRule type="cellIs" dxfId="6"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AA215-9F55-45C0-A8B6-A93C759D611A}">
  <dimension ref="B2:AB13"/>
  <sheetViews>
    <sheetView topLeftCell="W1" workbookViewId="0">
      <selection activeCell="AB13" sqref="AB13"/>
    </sheetView>
  </sheetViews>
  <sheetFormatPr defaultRowHeight="15"/>
  <cols>
    <col min="2" max="2" width="29.140625" bestFit="1" customWidth="1"/>
  </cols>
  <sheetData>
    <row r="2" spans="2:28">
      <c r="B2" t="s">
        <v>68</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13</v>
      </c>
      <c r="E3" s="1">
        <v>13</v>
      </c>
      <c r="F3" s="1">
        <v>11</v>
      </c>
      <c r="G3" s="1">
        <v>11</v>
      </c>
      <c r="H3" s="1">
        <v>10</v>
      </c>
      <c r="I3" s="1">
        <v>12</v>
      </c>
      <c r="J3" s="1">
        <v>13</v>
      </c>
      <c r="K3" s="1">
        <v>20</v>
      </c>
      <c r="L3" s="1">
        <v>16</v>
      </c>
      <c r="M3" s="1">
        <v>20</v>
      </c>
      <c r="N3" s="1">
        <v>23</v>
      </c>
      <c r="O3" s="1">
        <v>15</v>
      </c>
      <c r="P3" s="1">
        <v>58</v>
      </c>
      <c r="Q3" s="1"/>
      <c r="R3" s="1"/>
      <c r="S3" s="1"/>
      <c r="T3" s="1"/>
      <c r="U3" s="1"/>
      <c r="V3" s="1"/>
      <c r="W3" s="1"/>
      <c r="X3">
        <f>SUM(D3:W3)</f>
        <v>235</v>
      </c>
      <c r="Y3">
        <f>COUNT(D3:W3)</f>
        <v>13</v>
      </c>
      <c r="Z3">
        <f>COUNTIF(D3:W3,0)</f>
        <v>0</v>
      </c>
      <c r="AA3">
        <f>Y3-Z3</f>
        <v>13</v>
      </c>
      <c r="AB3">
        <f>X3/AA3</f>
        <v>18.076923076923077</v>
      </c>
    </row>
    <row r="4" spans="2:28">
      <c r="C4" t="s">
        <v>31</v>
      </c>
      <c r="D4" s="1">
        <v>13</v>
      </c>
      <c r="E4" s="1">
        <v>0</v>
      </c>
      <c r="F4" s="1">
        <v>11</v>
      </c>
      <c r="G4" s="1">
        <v>0</v>
      </c>
      <c r="H4" s="1">
        <v>22</v>
      </c>
      <c r="I4" s="1">
        <v>11</v>
      </c>
      <c r="J4" s="1">
        <v>12</v>
      </c>
      <c r="K4" s="1">
        <v>14</v>
      </c>
      <c r="L4" s="1">
        <v>14</v>
      </c>
      <c r="M4" s="1">
        <v>12</v>
      </c>
      <c r="N4" s="1">
        <v>13</v>
      </c>
      <c r="O4" s="1">
        <v>10</v>
      </c>
      <c r="P4" s="1">
        <v>22</v>
      </c>
      <c r="Q4" s="1">
        <v>10</v>
      </c>
      <c r="R4" s="1">
        <v>12</v>
      </c>
      <c r="S4" s="1">
        <v>12</v>
      </c>
      <c r="T4" s="1">
        <v>15</v>
      </c>
      <c r="U4" s="1"/>
      <c r="V4" s="1"/>
      <c r="W4" s="1"/>
      <c r="X4">
        <f t="shared" ref="X4:X12" si="0">SUM(D4:W4)</f>
        <v>203</v>
      </c>
      <c r="Y4">
        <f t="shared" ref="Y4:Y12" si="1">COUNT(D4:W4)</f>
        <v>17</v>
      </c>
      <c r="Z4">
        <f t="shared" ref="Z4:Z12" si="2">COUNTIF(D4:W4,0)</f>
        <v>2</v>
      </c>
      <c r="AA4">
        <f t="shared" ref="AA4:AA12" si="3">Y4-Z4</f>
        <v>15</v>
      </c>
      <c r="AB4">
        <f t="shared" ref="AB4:AB12" si="4">X4/AA4</f>
        <v>13.533333333333333</v>
      </c>
    </row>
    <row r="5" spans="2:28">
      <c r="C5" t="s">
        <v>32</v>
      </c>
      <c r="D5" s="1">
        <v>30</v>
      </c>
      <c r="E5" s="1">
        <v>22</v>
      </c>
      <c r="F5" s="1">
        <v>11</v>
      </c>
      <c r="G5" s="1">
        <v>11</v>
      </c>
      <c r="H5" s="1">
        <v>15</v>
      </c>
      <c r="I5" s="1">
        <v>17</v>
      </c>
      <c r="J5" s="1">
        <v>16</v>
      </c>
      <c r="K5" s="1">
        <v>17</v>
      </c>
      <c r="L5" s="1">
        <v>18</v>
      </c>
      <c r="M5" s="1">
        <v>17</v>
      </c>
      <c r="N5" s="1">
        <v>11</v>
      </c>
      <c r="O5" s="1">
        <v>20</v>
      </c>
      <c r="P5" s="1"/>
      <c r="Q5" s="1"/>
      <c r="R5" s="1"/>
      <c r="S5" s="1"/>
      <c r="T5" s="1"/>
      <c r="U5" s="1"/>
      <c r="V5" s="1"/>
      <c r="W5" s="1"/>
      <c r="X5">
        <f t="shared" si="0"/>
        <v>205</v>
      </c>
      <c r="Y5">
        <f t="shared" si="1"/>
        <v>12</v>
      </c>
      <c r="Z5">
        <f t="shared" si="2"/>
        <v>0</v>
      </c>
      <c r="AA5">
        <f t="shared" si="3"/>
        <v>12</v>
      </c>
      <c r="AB5">
        <f t="shared" si="4"/>
        <v>17.083333333333332</v>
      </c>
    </row>
    <row r="6" spans="2:28">
      <c r="C6" t="s">
        <v>33</v>
      </c>
      <c r="D6" s="1">
        <v>11</v>
      </c>
      <c r="E6" s="1">
        <v>10</v>
      </c>
      <c r="F6" s="1">
        <v>16</v>
      </c>
      <c r="G6" s="1">
        <v>0</v>
      </c>
      <c r="H6" s="1">
        <v>23</v>
      </c>
      <c r="I6" s="1">
        <v>12</v>
      </c>
      <c r="J6" s="1">
        <v>13</v>
      </c>
      <c r="K6" s="1">
        <v>14</v>
      </c>
      <c r="L6" s="1">
        <v>15</v>
      </c>
      <c r="M6" s="1">
        <v>17</v>
      </c>
      <c r="N6" s="1">
        <v>12</v>
      </c>
      <c r="O6" s="1">
        <v>16</v>
      </c>
      <c r="P6" s="1">
        <v>11</v>
      </c>
      <c r="Q6" s="1">
        <v>12</v>
      </c>
      <c r="R6" s="1">
        <v>13</v>
      </c>
      <c r="S6" s="1">
        <v>13</v>
      </c>
      <c r="T6" s="1"/>
      <c r="U6" s="1"/>
      <c r="V6" s="1"/>
      <c r="W6" s="1"/>
      <c r="X6">
        <f t="shared" si="0"/>
        <v>208</v>
      </c>
      <c r="Y6">
        <f t="shared" si="1"/>
        <v>16</v>
      </c>
      <c r="Z6">
        <f t="shared" si="2"/>
        <v>1</v>
      </c>
      <c r="AA6">
        <f t="shared" si="3"/>
        <v>15</v>
      </c>
      <c r="AB6">
        <f t="shared" si="4"/>
        <v>13.866666666666667</v>
      </c>
    </row>
    <row r="7" spans="2:28">
      <c r="C7" t="s">
        <v>34</v>
      </c>
      <c r="D7" s="1">
        <v>12</v>
      </c>
      <c r="E7" s="1">
        <v>10</v>
      </c>
      <c r="F7" s="1">
        <v>12</v>
      </c>
      <c r="G7" s="1">
        <v>19</v>
      </c>
      <c r="H7" s="1">
        <v>19</v>
      </c>
      <c r="I7" s="1">
        <v>11</v>
      </c>
      <c r="J7" s="1">
        <v>12</v>
      </c>
      <c r="K7" s="1">
        <v>12</v>
      </c>
      <c r="L7" s="1">
        <v>0</v>
      </c>
      <c r="M7" s="1">
        <v>13</v>
      </c>
      <c r="N7" s="1">
        <v>19</v>
      </c>
      <c r="O7" s="1">
        <v>16</v>
      </c>
      <c r="P7" s="1">
        <v>17</v>
      </c>
      <c r="Q7" s="1">
        <v>11</v>
      </c>
      <c r="R7" s="1">
        <v>11</v>
      </c>
      <c r="S7" s="1">
        <v>12</v>
      </c>
      <c r="T7" s="1"/>
      <c r="U7" s="1"/>
      <c r="V7" s="1"/>
      <c r="W7" s="1"/>
      <c r="X7">
        <f t="shared" si="0"/>
        <v>206</v>
      </c>
      <c r="Y7">
        <f t="shared" si="1"/>
        <v>16</v>
      </c>
      <c r="Z7">
        <f t="shared" si="2"/>
        <v>1</v>
      </c>
      <c r="AA7">
        <f t="shared" si="3"/>
        <v>15</v>
      </c>
      <c r="AB7">
        <f t="shared" si="4"/>
        <v>13.733333333333333</v>
      </c>
    </row>
    <row r="8" spans="2:28">
      <c r="C8" t="s">
        <v>35</v>
      </c>
      <c r="D8" s="1">
        <v>13</v>
      </c>
      <c r="E8" s="1">
        <v>12</v>
      </c>
      <c r="F8" s="1">
        <v>51</v>
      </c>
      <c r="G8" s="1">
        <v>16</v>
      </c>
      <c r="H8" s="1">
        <v>12</v>
      </c>
      <c r="I8" s="1">
        <v>13</v>
      </c>
      <c r="J8" s="1">
        <v>12</v>
      </c>
      <c r="K8" s="1">
        <v>11</v>
      </c>
      <c r="L8" s="1">
        <v>13</v>
      </c>
      <c r="M8" s="1">
        <v>14</v>
      </c>
      <c r="N8" s="1">
        <v>12</v>
      </c>
      <c r="O8" s="1">
        <v>13</v>
      </c>
      <c r="P8" s="1">
        <v>13</v>
      </c>
      <c r="Q8" s="1"/>
      <c r="R8" s="1"/>
      <c r="S8" s="1"/>
      <c r="T8" s="1"/>
      <c r="U8" s="1"/>
      <c r="V8" s="1"/>
      <c r="W8" s="1"/>
      <c r="X8">
        <f t="shared" si="0"/>
        <v>205</v>
      </c>
      <c r="Y8">
        <f t="shared" si="1"/>
        <v>13</v>
      </c>
      <c r="Z8">
        <f t="shared" si="2"/>
        <v>0</v>
      </c>
      <c r="AA8">
        <f t="shared" si="3"/>
        <v>13</v>
      </c>
      <c r="AB8">
        <f t="shared" si="4"/>
        <v>15.76923076923077</v>
      </c>
    </row>
    <row r="9" spans="2:28">
      <c r="C9" t="s">
        <v>36</v>
      </c>
      <c r="D9" s="1">
        <v>12</v>
      </c>
      <c r="E9" s="1">
        <v>14</v>
      </c>
      <c r="F9" s="1">
        <v>18</v>
      </c>
      <c r="G9" s="1">
        <v>10</v>
      </c>
      <c r="H9" s="1">
        <v>18</v>
      </c>
      <c r="I9" s="1">
        <v>14</v>
      </c>
      <c r="J9" s="1">
        <v>18</v>
      </c>
      <c r="K9" s="1">
        <v>12</v>
      </c>
      <c r="L9" s="1">
        <v>15</v>
      </c>
      <c r="M9" s="1">
        <v>9</v>
      </c>
      <c r="N9" s="1">
        <v>15</v>
      </c>
      <c r="O9" s="1">
        <v>12</v>
      </c>
      <c r="P9" s="1">
        <v>22</v>
      </c>
      <c r="Q9" s="1">
        <v>12</v>
      </c>
      <c r="R9" s="1"/>
      <c r="S9" s="1"/>
      <c r="T9" s="1"/>
      <c r="U9" s="1"/>
      <c r="V9" s="1"/>
      <c r="W9" s="1"/>
      <c r="X9">
        <f t="shared" si="0"/>
        <v>201</v>
      </c>
      <c r="Y9">
        <f t="shared" si="1"/>
        <v>14</v>
      </c>
      <c r="Z9">
        <f t="shared" si="2"/>
        <v>0</v>
      </c>
      <c r="AA9">
        <f t="shared" si="3"/>
        <v>14</v>
      </c>
      <c r="AB9">
        <f t="shared" si="4"/>
        <v>14.357142857142858</v>
      </c>
    </row>
    <row r="10" spans="2:28">
      <c r="C10" t="s">
        <v>37</v>
      </c>
      <c r="D10" s="1">
        <v>13</v>
      </c>
      <c r="E10" s="1">
        <v>24</v>
      </c>
      <c r="F10" s="1">
        <v>15</v>
      </c>
      <c r="G10" s="1">
        <v>10</v>
      </c>
      <c r="H10" s="1">
        <v>12</v>
      </c>
      <c r="I10" s="1">
        <v>15</v>
      </c>
      <c r="J10" s="1">
        <v>13</v>
      </c>
      <c r="K10" s="1">
        <v>0</v>
      </c>
      <c r="L10" s="1">
        <v>13</v>
      </c>
      <c r="M10" s="1">
        <v>15</v>
      </c>
      <c r="N10" s="1">
        <v>18</v>
      </c>
      <c r="O10" s="1">
        <v>18</v>
      </c>
      <c r="P10" s="1">
        <v>14</v>
      </c>
      <c r="Q10" s="1">
        <v>15</v>
      </c>
      <c r="R10" s="1">
        <v>14</v>
      </c>
      <c r="S10" s="1">
        <v>9</v>
      </c>
      <c r="T10" s="1"/>
      <c r="U10" s="1"/>
      <c r="V10" s="1"/>
      <c r="W10" s="1"/>
      <c r="X10">
        <f t="shared" si="0"/>
        <v>218</v>
      </c>
      <c r="Y10">
        <f t="shared" si="1"/>
        <v>16</v>
      </c>
      <c r="Z10">
        <f t="shared" si="2"/>
        <v>1</v>
      </c>
      <c r="AA10">
        <f t="shared" si="3"/>
        <v>15</v>
      </c>
      <c r="AB10">
        <f t="shared" si="4"/>
        <v>14.533333333333333</v>
      </c>
    </row>
    <row r="11" spans="2:28">
      <c r="C11" t="s">
        <v>38</v>
      </c>
      <c r="D11" s="1">
        <v>13</v>
      </c>
      <c r="E11" s="1">
        <v>22</v>
      </c>
      <c r="F11" s="1">
        <v>14</v>
      </c>
      <c r="G11" s="1">
        <v>10</v>
      </c>
      <c r="H11" s="1">
        <v>0</v>
      </c>
      <c r="I11" s="1">
        <v>17</v>
      </c>
      <c r="J11" s="1">
        <v>16</v>
      </c>
      <c r="K11" s="1">
        <v>13</v>
      </c>
      <c r="L11" s="1">
        <v>15</v>
      </c>
      <c r="M11" s="1">
        <v>12</v>
      </c>
      <c r="N11" s="1">
        <v>13</v>
      </c>
      <c r="O11" s="1">
        <v>12</v>
      </c>
      <c r="P11" s="1">
        <v>18</v>
      </c>
      <c r="Q11" s="1">
        <v>17</v>
      </c>
      <c r="R11" s="1">
        <v>15</v>
      </c>
      <c r="S11" s="1"/>
      <c r="T11" s="1"/>
      <c r="U11" s="1"/>
      <c r="V11" s="1"/>
      <c r="W11" s="1"/>
      <c r="X11">
        <f t="shared" si="0"/>
        <v>207</v>
      </c>
      <c r="Y11">
        <f t="shared" si="1"/>
        <v>15</v>
      </c>
      <c r="Z11">
        <f t="shared" si="2"/>
        <v>1</v>
      </c>
      <c r="AA11">
        <f t="shared" si="3"/>
        <v>14</v>
      </c>
      <c r="AB11">
        <f t="shared" si="4"/>
        <v>14.785714285714286</v>
      </c>
    </row>
    <row r="12" spans="2:28">
      <c r="C12" t="s">
        <v>39</v>
      </c>
      <c r="D12" s="1">
        <v>13</v>
      </c>
      <c r="E12" s="1">
        <v>10</v>
      </c>
      <c r="F12" s="1">
        <v>11</v>
      </c>
      <c r="G12" s="1">
        <v>12</v>
      </c>
      <c r="H12" s="1">
        <v>16</v>
      </c>
      <c r="I12" s="1">
        <v>11</v>
      </c>
      <c r="J12" s="1">
        <v>20</v>
      </c>
      <c r="K12" s="1">
        <v>19</v>
      </c>
      <c r="L12" s="1">
        <v>13</v>
      </c>
      <c r="M12" s="1">
        <v>23</v>
      </c>
      <c r="N12" s="1">
        <v>18</v>
      </c>
      <c r="O12" s="1">
        <v>21</v>
      </c>
      <c r="P12" s="1">
        <v>17</v>
      </c>
      <c r="Q12" s="1"/>
      <c r="R12" s="1"/>
      <c r="S12" s="1"/>
      <c r="T12" s="1"/>
      <c r="U12" s="1"/>
      <c r="V12" s="1"/>
      <c r="W12" s="1"/>
      <c r="X12">
        <f t="shared" si="0"/>
        <v>204</v>
      </c>
      <c r="Y12">
        <f t="shared" si="1"/>
        <v>13</v>
      </c>
      <c r="Z12">
        <f t="shared" si="2"/>
        <v>0</v>
      </c>
      <c r="AA12">
        <f t="shared" si="3"/>
        <v>13</v>
      </c>
      <c r="AB12">
        <f t="shared" si="4"/>
        <v>15.692307692307692</v>
      </c>
    </row>
    <row r="13" spans="2:28">
      <c r="X13" t="s">
        <v>52</v>
      </c>
      <c r="Y13">
        <f>AVERAGE(Y3:Y12)</f>
        <v>14.5</v>
      </c>
      <c r="Z13">
        <f t="shared" ref="Z13:AB13" si="5">AVERAGE(Z3:Z12)</f>
        <v>0.6</v>
      </c>
      <c r="AA13">
        <f t="shared" si="5"/>
        <v>13.9</v>
      </c>
      <c r="AB13">
        <f t="shared" si="5"/>
        <v>15.143131868131865</v>
      </c>
    </row>
  </sheetData>
  <phoneticPr fontId="3" type="noConversion"/>
  <conditionalFormatting sqref="D3:W12">
    <cfRule type="colorScale" priority="1">
      <colorScale>
        <cfvo type="min"/>
        <cfvo type="max"/>
        <color rgb="FFFF7128"/>
        <color theme="9"/>
      </colorScale>
    </cfRule>
    <cfRule type="cellIs" dxfId="5"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930C0-67F9-4F7E-8083-05102B5F7167}">
  <dimension ref="B2:AG116"/>
  <sheetViews>
    <sheetView topLeftCell="L99" workbookViewId="0">
      <selection activeCell="D16" sqref="D16:W115"/>
    </sheetView>
  </sheetViews>
  <sheetFormatPr defaultRowHeight="15"/>
  <cols>
    <col min="2" max="2" width="29.140625" bestFit="1" customWidth="1"/>
  </cols>
  <sheetData>
    <row r="2" spans="2:33">
      <c r="B2" t="s">
        <v>69</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33">
      <c r="C3" t="s">
        <v>18</v>
      </c>
      <c r="D3" s="1">
        <v>0</v>
      </c>
      <c r="E3" s="1">
        <v>23</v>
      </c>
      <c r="F3" s="1">
        <v>0</v>
      </c>
      <c r="G3" s="1">
        <v>28</v>
      </c>
      <c r="H3" s="1">
        <v>31</v>
      </c>
      <c r="I3" s="1">
        <v>26</v>
      </c>
      <c r="J3" s="1">
        <v>30</v>
      </c>
      <c r="K3" s="1">
        <v>0</v>
      </c>
      <c r="L3" s="1">
        <v>23</v>
      </c>
      <c r="M3" s="1">
        <v>0</v>
      </c>
      <c r="N3" s="1">
        <v>40</v>
      </c>
      <c r="O3" s="1"/>
      <c r="P3" s="1"/>
      <c r="Q3" s="1"/>
      <c r="R3" s="1"/>
      <c r="S3">
        <f>SUM(D3:R3)</f>
        <v>201</v>
      </c>
      <c r="T3">
        <f>COUNT(D3:R3)</f>
        <v>11</v>
      </c>
      <c r="U3">
        <f>COUNTIF(D3:R3,0)</f>
        <v>4</v>
      </c>
      <c r="V3">
        <f>T3-U3</f>
        <v>7</v>
      </c>
      <c r="W3">
        <f>S3/V3</f>
        <v>28.714285714285715</v>
      </c>
    </row>
    <row r="4" spans="2:33">
      <c r="C4" t="s">
        <v>31</v>
      </c>
      <c r="D4" s="1">
        <v>20</v>
      </c>
      <c r="E4" s="1">
        <v>30</v>
      </c>
      <c r="F4" s="1">
        <v>30</v>
      </c>
      <c r="G4" s="1">
        <v>0</v>
      </c>
      <c r="H4" s="1">
        <v>24</v>
      </c>
      <c r="I4" s="1">
        <v>21</v>
      </c>
      <c r="J4" s="1">
        <v>24</v>
      </c>
      <c r="K4" s="1">
        <v>0</v>
      </c>
      <c r="L4" s="1">
        <v>0</v>
      </c>
      <c r="M4" s="1">
        <v>33</v>
      </c>
      <c r="N4" s="1">
        <v>24</v>
      </c>
      <c r="O4" s="1"/>
      <c r="P4" s="1"/>
      <c r="Q4" s="1"/>
      <c r="R4" s="1"/>
      <c r="S4">
        <f t="shared" ref="S4:S12" si="0">SUM(D4:R4)</f>
        <v>206</v>
      </c>
      <c r="T4">
        <f t="shared" ref="T4:T12" si="1">COUNT(D4:R4)</f>
        <v>11</v>
      </c>
      <c r="U4">
        <f t="shared" ref="U4:U12" si="2">COUNTIF(D4:R4,0)</f>
        <v>3</v>
      </c>
      <c r="V4">
        <f t="shared" ref="V4:V12" si="3">T4-U4</f>
        <v>8</v>
      </c>
      <c r="W4">
        <f t="shared" ref="W4:W12" si="4">S4/V4</f>
        <v>25.75</v>
      </c>
    </row>
    <row r="5" spans="2:33">
      <c r="C5" t="s">
        <v>32</v>
      </c>
      <c r="D5" s="1">
        <v>26</v>
      </c>
      <c r="E5" s="1">
        <v>23</v>
      </c>
      <c r="F5" s="1">
        <v>31</v>
      </c>
      <c r="G5" s="1">
        <v>22</v>
      </c>
      <c r="H5" s="1">
        <v>37</v>
      </c>
      <c r="I5" s="1">
        <v>22</v>
      </c>
      <c r="J5" s="1">
        <v>33</v>
      </c>
      <c r="K5" s="1">
        <v>52</v>
      </c>
      <c r="L5" s="1"/>
      <c r="M5" s="1"/>
      <c r="N5" s="1"/>
      <c r="O5" s="1"/>
      <c r="P5" s="1"/>
      <c r="Q5" s="1"/>
      <c r="R5" s="1"/>
      <c r="S5">
        <f t="shared" si="0"/>
        <v>246</v>
      </c>
      <c r="T5">
        <f t="shared" si="1"/>
        <v>8</v>
      </c>
      <c r="U5">
        <f t="shared" si="2"/>
        <v>0</v>
      </c>
      <c r="V5">
        <f t="shared" si="3"/>
        <v>8</v>
      </c>
      <c r="W5">
        <f t="shared" si="4"/>
        <v>30.75</v>
      </c>
    </row>
    <row r="6" spans="2:33">
      <c r="C6" t="s">
        <v>33</v>
      </c>
      <c r="D6" s="1">
        <v>28</v>
      </c>
      <c r="E6" s="1">
        <v>22</v>
      </c>
      <c r="F6" s="1">
        <v>21</v>
      </c>
      <c r="G6" s="1">
        <v>23</v>
      </c>
      <c r="H6" s="1">
        <v>23</v>
      </c>
      <c r="I6" s="1">
        <v>29</v>
      </c>
      <c r="J6" s="1">
        <v>31</v>
      </c>
      <c r="K6" s="1">
        <v>21</v>
      </c>
      <c r="L6" s="1">
        <v>24</v>
      </c>
      <c r="M6" s="1"/>
      <c r="N6" s="1"/>
      <c r="O6" s="1"/>
      <c r="P6" s="1"/>
      <c r="Q6" s="1"/>
      <c r="R6" s="1"/>
      <c r="S6">
        <f t="shared" si="0"/>
        <v>222</v>
      </c>
      <c r="T6">
        <f t="shared" si="1"/>
        <v>9</v>
      </c>
      <c r="U6">
        <f t="shared" si="2"/>
        <v>0</v>
      </c>
      <c r="V6">
        <f t="shared" si="3"/>
        <v>9</v>
      </c>
      <c r="W6">
        <f t="shared" si="4"/>
        <v>24.666666666666668</v>
      </c>
    </row>
    <row r="7" spans="2:33">
      <c r="C7" t="s">
        <v>34</v>
      </c>
      <c r="D7" s="1">
        <v>25</v>
      </c>
      <c r="E7" s="1">
        <v>0</v>
      </c>
      <c r="F7" s="1">
        <v>0</v>
      </c>
      <c r="G7" s="1">
        <v>21</v>
      </c>
      <c r="H7" s="1">
        <v>0</v>
      </c>
      <c r="I7" s="1">
        <v>21</v>
      </c>
      <c r="J7" s="1">
        <v>31</v>
      </c>
      <c r="K7" s="1">
        <v>0</v>
      </c>
      <c r="L7" s="1">
        <v>0</v>
      </c>
      <c r="M7" s="1">
        <v>23</v>
      </c>
      <c r="N7" s="1">
        <v>19</v>
      </c>
      <c r="O7" s="1">
        <v>25</v>
      </c>
      <c r="P7" s="1">
        <v>22</v>
      </c>
      <c r="Q7" s="1">
        <v>24</v>
      </c>
      <c r="R7" s="1"/>
      <c r="S7">
        <f t="shared" si="0"/>
        <v>211</v>
      </c>
      <c r="T7">
        <f t="shared" si="1"/>
        <v>14</v>
      </c>
      <c r="U7">
        <f t="shared" si="2"/>
        <v>5</v>
      </c>
      <c r="V7">
        <f t="shared" si="3"/>
        <v>9</v>
      </c>
      <c r="W7">
        <f t="shared" si="4"/>
        <v>23.444444444444443</v>
      </c>
    </row>
    <row r="8" spans="2:33">
      <c r="C8" t="s">
        <v>35</v>
      </c>
      <c r="D8" s="1">
        <v>22</v>
      </c>
      <c r="E8" s="1">
        <v>23</v>
      </c>
      <c r="F8" s="1">
        <v>22</v>
      </c>
      <c r="G8" s="1">
        <v>28</v>
      </c>
      <c r="H8" s="1">
        <v>23</v>
      </c>
      <c r="I8" s="1">
        <v>0</v>
      </c>
      <c r="J8" s="1">
        <v>37</v>
      </c>
      <c r="K8" s="1">
        <v>0</v>
      </c>
      <c r="L8" s="1">
        <v>22</v>
      </c>
      <c r="M8" s="1"/>
      <c r="N8" s="1"/>
      <c r="O8" s="1"/>
      <c r="P8" s="1"/>
      <c r="Q8" s="1"/>
      <c r="R8" s="1"/>
      <c r="S8">
        <f t="shared" si="0"/>
        <v>177</v>
      </c>
      <c r="T8">
        <f t="shared" si="1"/>
        <v>9</v>
      </c>
      <c r="U8">
        <f t="shared" si="2"/>
        <v>2</v>
      </c>
      <c r="V8">
        <f t="shared" si="3"/>
        <v>7</v>
      </c>
      <c r="W8">
        <f t="shared" si="4"/>
        <v>25.285714285714285</v>
      </c>
    </row>
    <row r="9" spans="2:33">
      <c r="C9" t="s">
        <v>36</v>
      </c>
      <c r="D9" s="1">
        <v>21</v>
      </c>
      <c r="E9" s="1">
        <v>0</v>
      </c>
      <c r="F9" s="1">
        <v>28</v>
      </c>
      <c r="G9" s="1">
        <v>0</v>
      </c>
      <c r="H9" s="1">
        <v>27</v>
      </c>
      <c r="I9" s="1">
        <v>24</v>
      </c>
      <c r="J9" s="1">
        <v>0</v>
      </c>
      <c r="K9" s="1">
        <v>25</v>
      </c>
      <c r="L9" s="1">
        <v>26</v>
      </c>
      <c r="M9" s="1">
        <v>24</v>
      </c>
      <c r="N9" s="1">
        <v>23</v>
      </c>
      <c r="O9" s="1">
        <v>24</v>
      </c>
      <c r="P9" s="1"/>
      <c r="Q9" s="1"/>
      <c r="R9" s="1"/>
      <c r="S9">
        <f t="shared" si="0"/>
        <v>222</v>
      </c>
      <c r="T9">
        <f t="shared" si="1"/>
        <v>12</v>
      </c>
      <c r="U9">
        <f t="shared" si="2"/>
        <v>3</v>
      </c>
      <c r="V9">
        <f t="shared" si="3"/>
        <v>9</v>
      </c>
      <c r="W9">
        <f t="shared" si="4"/>
        <v>24.666666666666668</v>
      </c>
    </row>
    <row r="10" spans="2:33">
      <c r="C10" t="s">
        <v>37</v>
      </c>
      <c r="D10" s="1">
        <v>30</v>
      </c>
      <c r="E10" s="1">
        <v>25</v>
      </c>
      <c r="F10" s="1">
        <v>24</v>
      </c>
      <c r="G10" s="1">
        <v>21</v>
      </c>
      <c r="H10" s="1">
        <v>34</v>
      </c>
      <c r="I10" s="1">
        <v>28</v>
      </c>
      <c r="J10" s="1">
        <v>23</v>
      </c>
      <c r="K10" s="1">
        <v>23</v>
      </c>
      <c r="L10" s="1"/>
      <c r="M10" s="1"/>
      <c r="N10" s="1"/>
      <c r="O10" s="1"/>
      <c r="P10" s="1"/>
      <c r="Q10" s="1"/>
      <c r="R10" s="1"/>
      <c r="S10">
        <f t="shared" si="0"/>
        <v>208</v>
      </c>
      <c r="T10">
        <f t="shared" si="1"/>
        <v>8</v>
      </c>
      <c r="U10">
        <f t="shared" si="2"/>
        <v>0</v>
      </c>
      <c r="V10">
        <f t="shared" si="3"/>
        <v>8</v>
      </c>
      <c r="W10">
        <f t="shared" si="4"/>
        <v>26</v>
      </c>
    </row>
    <row r="11" spans="2:33">
      <c r="C11" t="s">
        <v>38</v>
      </c>
      <c r="D11" s="1">
        <v>0</v>
      </c>
      <c r="E11" s="1">
        <v>26</v>
      </c>
      <c r="F11" s="1">
        <v>25</v>
      </c>
      <c r="G11" s="1">
        <v>31</v>
      </c>
      <c r="H11" s="1">
        <v>0</v>
      </c>
      <c r="I11" s="1">
        <v>30</v>
      </c>
      <c r="J11" s="1">
        <v>29</v>
      </c>
      <c r="K11" s="1">
        <v>34</v>
      </c>
      <c r="L11" s="1">
        <v>0</v>
      </c>
      <c r="M11" s="1">
        <v>24</v>
      </c>
      <c r="N11" s="1">
        <v>0</v>
      </c>
      <c r="O11" s="1">
        <v>23</v>
      </c>
      <c r="P11" s="1"/>
      <c r="Q11" s="1"/>
      <c r="R11" s="1"/>
      <c r="S11">
        <f t="shared" si="0"/>
        <v>222</v>
      </c>
      <c r="T11">
        <f t="shared" si="1"/>
        <v>12</v>
      </c>
      <c r="U11">
        <f t="shared" si="2"/>
        <v>4</v>
      </c>
      <c r="V11">
        <f t="shared" si="3"/>
        <v>8</v>
      </c>
      <c r="W11">
        <f t="shared" si="4"/>
        <v>27.75</v>
      </c>
    </row>
    <row r="12" spans="2:33">
      <c r="C12" t="s">
        <v>39</v>
      </c>
      <c r="D12" s="1">
        <v>23</v>
      </c>
      <c r="E12" s="1">
        <v>24</v>
      </c>
      <c r="F12" s="1">
        <v>27</v>
      </c>
      <c r="G12" s="1">
        <v>24</v>
      </c>
      <c r="H12" s="1">
        <v>0</v>
      </c>
      <c r="I12" s="1">
        <v>24</v>
      </c>
      <c r="J12" s="1">
        <v>18</v>
      </c>
      <c r="K12" s="1">
        <v>28</v>
      </c>
      <c r="L12" s="1">
        <v>0</v>
      </c>
      <c r="M12" s="1">
        <v>27</v>
      </c>
      <c r="N12" s="1">
        <v>25</v>
      </c>
      <c r="O12" s="1"/>
      <c r="P12" s="1"/>
      <c r="Q12" s="1"/>
      <c r="R12" s="1"/>
      <c r="S12">
        <f t="shared" si="0"/>
        <v>220</v>
      </c>
      <c r="T12">
        <f t="shared" si="1"/>
        <v>11</v>
      </c>
      <c r="U12">
        <f t="shared" si="2"/>
        <v>2</v>
      </c>
      <c r="V12">
        <f t="shared" si="3"/>
        <v>9</v>
      </c>
      <c r="W12">
        <f t="shared" si="4"/>
        <v>24.444444444444443</v>
      </c>
    </row>
    <row r="13" spans="2:33">
      <c r="S13" t="s">
        <v>52</v>
      </c>
      <c r="T13">
        <f>AVERAGE(T3:T12)</f>
        <v>10.5</v>
      </c>
      <c r="U13">
        <f t="shared" ref="U13:W13" si="5">AVERAGE(U3:U12)</f>
        <v>2.2999999999999998</v>
      </c>
      <c r="V13">
        <f t="shared" si="5"/>
        <v>8.1999999999999993</v>
      </c>
      <c r="W13">
        <f t="shared" si="5"/>
        <v>26.147222222222222</v>
      </c>
    </row>
    <row r="15" spans="2:33">
      <c r="D15" t="s">
        <v>19</v>
      </c>
      <c r="E15" t="s">
        <v>20</v>
      </c>
      <c r="F15" t="s">
        <v>21</v>
      </c>
      <c r="G15" t="s">
        <v>22</v>
      </c>
      <c r="H15" t="s">
        <v>23</v>
      </c>
      <c r="I15" t="s">
        <v>24</v>
      </c>
      <c r="J15" t="s">
        <v>25</v>
      </c>
      <c r="K15" t="s">
        <v>26</v>
      </c>
      <c r="L15" t="s">
        <v>27</v>
      </c>
      <c r="M15" t="s">
        <v>28</v>
      </c>
      <c r="N15" t="s">
        <v>29</v>
      </c>
      <c r="O15" t="s">
        <v>30</v>
      </c>
      <c r="P15" t="s">
        <v>40</v>
      </c>
      <c r="Q15" t="s">
        <v>41</v>
      </c>
      <c r="R15" t="s">
        <v>42</v>
      </c>
      <c r="S15" t="s">
        <v>72</v>
      </c>
      <c r="T15" t="s">
        <v>73</v>
      </c>
      <c r="U15" t="s">
        <v>74</v>
      </c>
      <c r="V15" t="s">
        <v>75</v>
      </c>
      <c r="W15" t="s">
        <v>76</v>
      </c>
      <c r="X15" t="s">
        <v>80</v>
      </c>
      <c r="Y15" t="s">
        <v>81</v>
      </c>
      <c r="Z15" t="s">
        <v>82</v>
      </c>
      <c r="AA15" t="s">
        <v>83</v>
      </c>
      <c r="AB15" t="s">
        <v>84</v>
      </c>
      <c r="AC15" t="s">
        <v>50</v>
      </c>
      <c r="AD15" t="s">
        <v>49</v>
      </c>
      <c r="AE15" t="s">
        <v>48</v>
      </c>
      <c r="AF15" t="s">
        <v>51</v>
      </c>
      <c r="AG15" t="s">
        <v>77</v>
      </c>
    </row>
    <row r="16" spans="2:33">
      <c r="C16" t="s">
        <v>18</v>
      </c>
      <c r="D16" s="1">
        <v>23</v>
      </c>
      <c r="E16" s="1">
        <v>23</v>
      </c>
      <c r="F16" s="1">
        <v>0</v>
      </c>
      <c r="G16" s="1">
        <v>27</v>
      </c>
      <c r="H16" s="1">
        <v>28</v>
      </c>
      <c r="I16" s="1">
        <v>0</v>
      </c>
      <c r="J16" s="1">
        <v>0</v>
      </c>
      <c r="K16" s="1">
        <v>22</v>
      </c>
      <c r="L16" s="1">
        <v>26</v>
      </c>
      <c r="M16" s="1">
        <v>32</v>
      </c>
      <c r="N16" s="1">
        <v>21</v>
      </c>
      <c r="O16" s="1"/>
      <c r="P16" s="1"/>
      <c r="Q16" s="1"/>
      <c r="R16" s="1"/>
      <c r="S16" s="1"/>
      <c r="T16" s="1"/>
      <c r="U16" s="1"/>
      <c r="V16" s="1"/>
      <c r="W16" s="1"/>
      <c r="X16" s="1"/>
      <c r="Y16" s="1"/>
      <c r="Z16" s="1"/>
      <c r="AA16" s="1"/>
      <c r="AB16" s="1"/>
      <c r="AC16">
        <f t="shared" ref="AC16:AC47" si="6">SUM(D16:AB16)</f>
        <v>202</v>
      </c>
      <c r="AD16">
        <f t="shared" ref="AD16:AD47" si="7">COUNT(D16:AB16)</f>
        <v>11</v>
      </c>
      <c r="AE16">
        <f t="shared" ref="AE16:AE47" si="8">COUNTIF(D16:AB16,0)</f>
        <v>3</v>
      </c>
      <c r="AF16">
        <f t="shared" ref="AF16:AF79" si="9">AD16-AE16</f>
        <v>8</v>
      </c>
      <c r="AG16">
        <f t="shared" ref="AG16:AG79" si="10">AC16/AF16</f>
        <v>25.25</v>
      </c>
    </row>
    <row r="17" spans="3:33">
      <c r="C17" t="s">
        <v>31</v>
      </c>
      <c r="D17" s="1">
        <v>20</v>
      </c>
      <c r="E17" s="1">
        <v>29</v>
      </c>
      <c r="F17" s="1">
        <v>21</v>
      </c>
      <c r="G17" s="1">
        <v>23</v>
      </c>
      <c r="H17" s="1">
        <v>29</v>
      </c>
      <c r="I17" s="1">
        <v>0</v>
      </c>
      <c r="J17" s="1">
        <v>32</v>
      </c>
      <c r="K17" s="1">
        <v>0</v>
      </c>
      <c r="L17" s="1">
        <v>55</v>
      </c>
      <c r="M17" s="1"/>
      <c r="N17" s="1"/>
      <c r="O17" s="1"/>
      <c r="P17" s="1"/>
      <c r="Q17" s="1"/>
      <c r="R17" s="1"/>
      <c r="S17" s="1"/>
      <c r="T17" s="1"/>
      <c r="U17" s="1"/>
      <c r="V17" s="1"/>
      <c r="W17" s="1"/>
      <c r="X17" s="1"/>
      <c r="Y17" s="1"/>
      <c r="Z17" s="1"/>
      <c r="AA17" s="1"/>
      <c r="AB17" s="1"/>
      <c r="AC17">
        <f t="shared" si="6"/>
        <v>209</v>
      </c>
      <c r="AD17">
        <f t="shared" si="7"/>
        <v>9</v>
      </c>
      <c r="AE17">
        <f t="shared" si="8"/>
        <v>2</v>
      </c>
      <c r="AF17">
        <f t="shared" si="9"/>
        <v>7</v>
      </c>
      <c r="AG17">
        <f t="shared" si="10"/>
        <v>29.857142857142858</v>
      </c>
    </row>
    <row r="18" spans="3:33">
      <c r="C18" t="s">
        <v>32</v>
      </c>
      <c r="D18" s="1">
        <v>20</v>
      </c>
      <c r="E18" s="1">
        <v>23</v>
      </c>
      <c r="F18" s="1">
        <v>29</v>
      </c>
      <c r="G18" s="1">
        <v>33</v>
      </c>
      <c r="H18" s="1">
        <v>31</v>
      </c>
      <c r="I18" s="1">
        <v>36</v>
      </c>
      <c r="J18" s="1">
        <v>12</v>
      </c>
      <c r="K18" s="1">
        <v>42</v>
      </c>
      <c r="L18" s="1"/>
      <c r="M18" s="1"/>
      <c r="N18" s="1"/>
      <c r="O18" s="1"/>
      <c r="P18" s="1"/>
      <c r="Q18" s="1"/>
      <c r="R18" s="1"/>
      <c r="S18" s="1"/>
      <c r="T18" s="1"/>
      <c r="U18" s="1"/>
      <c r="V18" s="1"/>
      <c r="W18" s="1"/>
      <c r="X18" s="1"/>
      <c r="Y18" s="1"/>
      <c r="Z18" s="1"/>
      <c r="AA18" s="1"/>
      <c r="AB18" s="1"/>
      <c r="AC18">
        <f t="shared" si="6"/>
        <v>226</v>
      </c>
      <c r="AD18">
        <f t="shared" si="7"/>
        <v>8</v>
      </c>
      <c r="AE18">
        <f t="shared" si="8"/>
        <v>0</v>
      </c>
      <c r="AF18">
        <f t="shared" si="9"/>
        <v>8</v>
      </c>
      <c r="AG18">
        <f t="shared" si="10"/>
        <v>28.25</v>
      </c>
    </row>
    <row r="19" spans="3:33">
      <c r="C19" t="s">
        <v>33</v>
      </c>
      <c r="D19" s="1">
        <v>18</v>
      </c>
      <c r="E19" s="1">
        <v>26</v>
      </c>
      <c r="F19" s="1">
        <v>27</v>
      </c>
      <c r="G19" s="1">
        <v>0</v>
      </c>
      <c r="H19" s="1">
        <v>0</v>
      </c>
      <c r="I19" s="1">
        <v>29</v>
      </c>
      <c r="J19" s="1">
        <v>0</v>
      </c>
      <c r="K19" s="1">
        <v>46</v>
      </c>
      <c r="L19" s="1">
        <v>32</v>
      </c>
      <c r="M19" s="1">
        <v>19</v>
      </c>
      <c r="N19" s="1">
        <v>27</v>
      </c>
      <c r="O19" s="1"/>
      <c r="P19" s="1"/>
      <c r="Q19" s="1"/>
      <c r="R19" s="1"/>
      <c r="S19" s="1"/>
      <c r="T19" s="1"/>
      <c r="U19" s="1"/>
      <c r="V19" s="1"/>
      <c r="W19" s="1"/>
      <c r="X19" s="1"/>
      <c r="Y19" s="1"/>
      <c r="Z19" s="1"/>
      <c r="AA19" s="1"/>
      <c r="AB19" s="1"/>
      <c r="AC19">
        <f t="shared" si="6"/>
        <v>224</v>
      </c>
      <c r="AD19">
        <f t="shared" si="7"/>
        <v>11</v>
      </c>
      <c r="AE19">
        <f t="shared" si="8"/>
        <v>3</v>
      </c>
      <c r="AF19">
        <f t="shared" si="9"/>
        <v>8</v>
      </c>
      <c r="AG19">
        <f t="shared" si="10"/>
        <v>28</v>
      </c>
    </row>
    <row r="20" spans="3:33">
      <c r="C20" t="s">
        <v>34</v>
      </c>
      <c r="D20" s="1">
        <v>22</v>
      </c>
      <c r="E20" s="1">
        <v>22</v>
      </c>
      <c r="F20" s="1">
        <v>0</v>
      </c>
      <c r="G20" s="1">
        <v>26</v>
      </c>
      <c r="H20" s="1">
        <v>26</v>
      </c>
      <c r="I20" s="1">
        <v>37</v>
      </c>
      <c r="J20" s="1">
        <v>32</v>
      </c>
      <c r="K20" s="1">
        <v>22</v>
      </c>
      <c r="L20" s="1">
        <v>0</v>
      </c>
      <c r="M20" s="1">
        <v>32</v>
      </c>
      <c r="N20" s="1"/>
      <c r="O20" s="1"/>
      <c r="P20" s="1"/>
      <c r="Q20" s="1"/>
      <c r="R20" s="1"/>
      <c r="S20" s="1"/>
      <c r="T20" s="1"/>
      <c r="U20" s="1"/>
      <c r="V20" s="1"/>
      <c r="W20" s="1"/>
      <c r="X20" s="1"/>
      <c r="Y20" s="1"/>
      <c r="Z20" s="1"/>
      <c r="AA20" s="1"/>
      <c r="AB20" s="1"/>
      <c r="AC20">
        <f t="shared" si="6"/>
        <v>219</v>
      </c>
      <c r="AD20">
        <f t="shared" si="7"/>
        <v>10</v>
      </c>
      <c r="AE20">
        <f t="shared" si="8"/>
        <v>2</v>
      </c>
      <c r="AF20">
        <f t="shared" si="9"/>
        <v>8</v>
      </c>
      <c r="AG20">
        <f t="shared" si="10"/>
        <v>27.375</v>
      </c>
    </row>
    <row r="21" spans="3:33">
      <c r="C21" t="s">
        <v>35</v>
      </c>
      <c r="D21" s="1">
        <v>23</v>
      </c>
      <c r="E21" s="1">
        <v>36</v>
      </c>
      <c r="F21" s="1">
        <v>26</v>
      </c>
      <c r="G21" s="1">
        <v>0</v>
      </c>
      <c r="H21" s="1">
        <v>23</v>
      </c>
      <c r="I21" s="1">
        <v>0</v>
      </c>
      <c r="J21" s="1">
        <v>40</v>
      </c>
      <c r="K21" s="1">
        <v>35</v>
      </c>
      <c r="L21" s="1">
        <v>17</v>
      </c>
      <c r="M21" s="1"/>
      <c r="N21" s="1"/>
      <c r="O21" s="1"/>
      <c r="P21" s="1"/>
      <c r="Q21" s="1"/>
      <c r="R21" s="1"/>
      <c r="S21" s="1"/>
      <c r="T21" s="1"/>
      <c r="U21" s="1"/>
      <c r="V21" s="1"/>
      <c r="W21" s="1"/>
      <c r="X21" s="1"/>
      <c r="Y21" s="1"/>
      <c r="Z21" s="1"/>
      <c r="AA21" s="1"/>
      <c r="AB21" s="1"/>
      <c r="AC21">
        <f t="shared" si="6"/>
        <v>200</v>
      </c>
      <c r="AD21">
        <f t="shared" si="7"/>
        <v>9</v>
      </c>
      <c r="AE21">
        <f t="shared" si="8"/>
        <v>2</v>
      </c>
      <c r="AF21">
        <f t="shared" si="9"/>
        <v>7</v>
      </c>
      <c r="AG21">
        <f t="shared" si="10"/>
        <v>28.571428571428573</v>
      </c>
    </row>
    <row r="22" spans="3:33">
      <c r="C22" t="s">
        <v>36</v>
      </c>
      <c r="D22" s="1">
        <v>20</v>
      </c>
      <c r="E22" s="1">
        <v>23</v>
      </c>
      <c r="F22" s="1">
        <v>28</v>
      </c>
      <c r="G22" s="1">
        <v>22</v>
      </c>
      <c r="H22" s="1">
        <v>0</v>
      </c>
      <c r="I22" s="1">
        <v>0</v>
      </c>
      <c r="J22" s="1">
        <v>0</v>
      </c>
      <c r="K22" s="1">
        <v>22</v>
      </c>
      <c r="L22" s="1">
        <v>32</v>
      </c>
      <c r="M22" s="1">
        <v>25</v>
      </c>
      <c r="N22" s="1">
        <v>0</v>
      </c>
      <c r="O22" s="1">
        <v>0</v>
      </c>
      <c r="P22" s="1">
        <v>24</v>
      </c>
      <c r="Q22" s="1">
        <v>17</v>
      </c>
      <c r="R22" s="1"/>
      <c r="S22" s="1"/>
      <c r="T22" s="1"/>
      <c r="U22" s="1"/>
      <c r="V22" s="1"/>
      <c r="W22" s="1"/>
      <c r="X22" s="1"/>
      <c r="Y22" s="1"/>
      <c r="Z22" s="1"/>
      <c r="AA22" s="1"/>
      <c r="AB22" s="1"/>
      <c r="AC22">
        <f t="shared" si="6"/>
        <v>213</v>
      </c>
      <c r="AD22">
        <f t="shared" si="7"/>
        <v>14</v>
      </c>
      <c r="AE22">
        <f t="shared" si="8"/>
        <v>5</v>
      </c>
      <c r="AF22">
        <f t="shared" si="9"/>
        <v>9</v>
      </c>
      <c r="AG22">
        <f t="shared" si="10"/>
        <v>23.666666666666668</v>
      </c>
    </row>
    <row r="23" spans="3:33">
      <c r="C23" t="s">
        <v>37</v>
      </c>
      <c r="D23" s="1">
        <v>24</v>
      </c>
      <c r="E23" s="1">
        <v>0</v>
      </c>
      <c r="F23" s="1">
        <v>0</v>
      </c>
      <c r="G23" s="1">
        <v>0</v>
      </c>
      <c r="H23" s="1">
        <v>19</v>
      </c>
      <c r="I23" s="1">
        <v>29</v>
      </c>
      <c r="J23" s="1">
        <v>26</v>
      </c>
      <c r="K23" s="1">
        <v>24</v>
      </c>
      <c r="L23" s="1">
        <v>24</v>
      </c>
      <c r="M23" s="1">
        <v>0</v>
      </c>
      <c r="N23" s="1">
        <v>37</v>
      </c>
      <c r="O23" s="1">
        <v>21</v>
      </c>
      <c r="P23" s="1"/>
      <c r="Q23" s="1"/>
      <c r="R23" s="1"/>
      <c r="S23" s="1"/>
      <c r="T23" s="1"/>
      <c r="U23" s="1"/>
      <c r="V23" s="1"/>
      <c r="W23" s="1"/>
      <c r="X23" s="1"/>
      <c r="Y23" s="1"/>
      <c r="Z23" s="1"/>
      <c r="AA23" s="1"/>
      <c r="AB23" s="1"/>
      <c r="AC23">
        <f t="shared" si="6"/>
        <v>204</v>
      </c>
      <c r="AD23">
        <f t="shared" si="7"/>
        <v>12</v>
      </c>
      <c r="AE23">
        <f t="shared" si="8"/>
        <v>4</v>
      </c>
      <c r="AF23">
        <f t="shared" si="9"/>
        <v>8</v>
      </c>
      <c r="AG23">
        <f t="shared" si="10"/>
        <v>25.5</v>
      </c>
    </row>
    <row r="24" spans="3:33">
      <c r="C24" t="s">
        <v>38</v>
      </c>
      <c r="D24" s="1">
        <v>0</v>
      </c>
      <c r="E24" s="1">
        <v>33</v>
      </c>
      <c r="F24" s="1">
        <v>33</v>
      </c>
      <c r="G24" s="1">
        <v>0</v>
      </c>
      <c r="H24" s="1">
        <v>66</v>
      </c>
      <c r="I24" s="1">
        <v>21</v>
      </c>
      <c r="J24" s="1">
        <v>23</v>
      </c>
      <c r="K24" s="1">
        <v>28</v>
      </c>
      <c r="L24" s="1"/>
      <c r="M24" s="1"/>
      <c r="N24" s="1"/>
      <c r="O24" s="1"/>
      <c r="P24" s="1"/>
      <c r="Q24" s="1"/>
      <c r="R24" s="1"/>
      <c r="S24" s="1"/>
      <c r="T24" s="1"/>
      <c r="U24" s="1"/>
      <c r="V24" s="1"/>
      <c r="W24" s="1"/>
      <c r="X24" s="1"/>
      <c r="Y24" s="1"/>
      <c r="Z24" s="1"/>
      <c r="AA24" s="1"/>
      <c r="AB24" s="1"/>
      <c r="AC24">
        <f t="shared" si="6"/>
        <v>204</v>
      </c>
      <c r="AD24">
        <f t="shared" si="7"/>
        <v>8</v>
      </c>
      <c r="AE24">
        <f t="shared" si="8"/>
        <v>2</v>
      </c>
      <c r="AF24">
        <f t="shared" si="9"/>
        <v>6</v>
      </c>
      <c r="AG24">
        <f t="shared" si="10"/>
        <v>34</v>
      </c>
    </row>
    <row r="25" spans="3:33">
      <c r="C25" t="s">
        <v>39</v>
      </c>
      <c r="D25" s="1">
        <v>22</v>
      </c>
      <c r="E25" s="1">
        <v>20</v>
      </c>
      <c r="F25" s="1">
        <v>24</v>
      </c>
      <c r="G25" s="1">
        <v>33</v>
      </c>
      <c r="H25" s="1">
        <v>0</v>
      </c>
      <c r="I25" s="1">
        <v>35</v>
      </c>
      <c r="J25" s="1">
        <v>25</v>
      </c>
      <c r="K25" s="1">
        <v>0</v>
      </c>
      <c r="L25" s="1">
        <v>28</v>
      </c>
      <c r="M25" s="1">
        <v>30</v>
      </c>
      <c r="N25" s="1"/>
      <c r="O25" s="1"/>
      <c r="P25" s="1"/>
      <c r="Q25" s="1"/>
      <c r="R25" s="1"/>
      <c r="S25" s="1"/>
      <c r="T25" s="1"/>
      <c r="U25" s="1"/>
      <c r="V25" s="1"/>
      <c r="W25" s="1"/>
      <c r="X25" s="1"/>
      <c r="Y25" s="1"/>
      <c r="Z25" s="1"/>
      <c r="AA25" s="1"/>
      <c r="AB25" s="1"/>
      <c r="AC25">
        <f t="shared" si="6"/>
        <v>217</v>
      </c>
      <c r="AD25">
        <f t="shared" si="7"/>
        <v>10</v>
      </c>
      <c r="AE25">
        <f t="shared" si="8"/>
        <v>2</v>
      </c>
      <c r="AF25">
        <f t="shared" si="9"/>
        <v>8</v>
      </c>
      <c r="AG25">
        <f t="shared" si="10"/>
        <v>27.125</v>
      </c>
    </row>
    <row r="26" spans="3:33">
      <c r="C26" t="s">
        <v>115</v>
      </c>
      <c r="D26" s="1">
        <v>29</v>
      </c>
      <c r="E26" s="1">
        <v>20</v>
      </c>
      <c r="F26" s="1">
        <v>22</v>
      </c>
      <c r="G26" s="1">
        <v>19</v>
      </c>
      <c r="H26" s="1">
        <v>24</v>
      </c>
      <c r="I26" s="1">
        <v>18</v>
      </c>
      <c r="J26" s="1">
        <v>0</v>
      </c>
      <c r="K26" s="1">
        <v>37</v>
      </c>
      <c r="L26" s="1">
        <v>13</v>
      </c>
      <c r="M26" s="1">
        <v>18</v>
      </c>
      <c r="N26" s="1"/>
      <c r="O26" s="1"/>
      <c r="P26" s="1"/>
      <c r="Q26" s="1"/>
      <c r="R26" s="1"/>
      <c r="S26" s="1"/>
      <c r="T26" s="1"/>
      <c r="U26" s="1"/>
      <c r="V26" s="1"/>
      <c r="W26" s="1"/>
      <c r="X26" s="1"/>
      <c r="Y26" s="1"/>
      <c r="Z26" s="1"/>
      <c r="AA26" s="1"/>
      <c r="AB26" s="1"/>
      <c r="AC26">
        <f t="shared" si="6"/>
        <v>200</v>
      </c>
      <c r="AD26">
        <f t="shared" si="7"/>
        <v>10</v>
      </c>
      <c r="AE26">
        <f t="shared" si="8"/>
        <v>1</v>
      </c>
      <c r="AF26">
        <f t="shared" si="9"/>
        <v>9</v>
      </c>
      <c r="AG26">
        <f t="shared" si="10"/>
        <v>22.222222222222221</v>
      </c>
    </row>
    <row r="27" spans="3:33">
      <c r="C27" t="s">
        <v>116</v>
      </c>
      <c r="D27" s="1">
        <v>18</v>
      </c>
      <c r="E27" s="1">
        <v>20</v>
      </c>
      <c r="F27" s="1">
        <v>25</v>
      </c>
      <c r="G27" s="1">
        <v>30</v>
      </c>
      <c r="H27" s="1">
        <v>0</v>
      </c>
      <c r="I27" s="1">
        <v>0</v>
      </c>
      <c r="J27" s="1">
        <v>5</v>
      </c>
      <c r="K27" s="1">
        <v>0</v>
      </c>
      <c r="L27" s="1">
        <v>0</v>
      </c>
      <c r="M27" s="1">
        <v>21</v>
      </c>
      <c r="N27" s="1">
        <v>24</v>
      </c>
      <c r="O27" s="1">
        <v>0</v>
      </c>
      <c r="P27" s="1">
        <v>0</v>
      </c>
      <c r="Q27" s="1">
        <v>0</v>
      </c>
      <c r="R27" s="1">
        <v>0</v>
      </c>
      <c r="S27" s="1">
        <v>0</v>
      </c>
      <c r="T27" s="1">
        <v>28</v>
      </c>
      <c r="U27" s="1">
        <v>0</v>
      </c>
      <c r="V27" s="1">
        <v>28</v>
      </c>
      <c r="W27" s="1">
        <v>23</v>
      </c>
      <c r="X27" s="1"/>
      <c r="Y27" s="1"/>
      <c r="Z27" s="1"/>
      <c r="AA27" s="1"/>
      <c r="AB27" s="1"/>
      <c r="AC27">
        <f t="shared" si="6"/>
        <v>222</v>
      </c>
      <c r="AD27">
        <f t="shared" si="7"/>
        <v>20</v>
      </c>
      <c r="AE27">
        <f t="shared" si="8"/>
        <v>10</v>
      </c>
      <c r="AF27">
        <f t="shared" si="9"/>
        <v>10</v>
      </c>
      <c r="AG27">
        <f t="shared" si="10"/>
        <v>22.2</v>
      </c>
    </row>
    <row r="28" spans="3:33">
      <c r="C28" t="s">
        <v>117</v>
      </c>
      <c r="D28" s="1">
        <v>25</v>
      </c>
      <c r="E28" s="1">
        <v>31</v>
      </c>
      <c r="F28" s="1">
        <v>22</v>
      </c>
      <c r="G28" s="1">
        <v>22</v>
      </c>
      <c r="H28" s="1">
        <v>34</v>
      </c>
      <c r="I28" s="1">
        <v>25</v>
      </c>
      <c r="J28" s="1">
        <v>24</v>
      </c>
      <c r="K28" s="1">
        <v>25</v>
      </c>
      <c r="L28" s="1"/>
      <c r="M28" s="1"/>
      <c r="N28" s="1"/>
      <c r="O28" s="1"/>
      <c r="P28" s="1"/>
      <c r="Q28" s="1"/>
      <c r="R28" s="1"/>
      <c r="S28" s="1"/>
      <c r="T28" s="1"/>
      <c r="U28" s="1"/>
      <c r="V28" s="1"/>
      <c r="W28" s="1"/>
      <c r="X28" s="1"/>
      <c r="Y28" s="1"/>
      <c r="Z28" s="1"/>
      <c r="AA28" s="1"/>
      <c r="AB28" s="1"/>
      <c r="AC28">
        <f t="shared" si="6"/>
        <v>208</v>
      </c>
      <c r="AD28">
        <f t="shared" si="7"/>
        <v>8</v>
      </c>
      <c r="AE28">
        <f t="shared" si="8"/>
        <v>0</v>
      </c>
      <c r="AF28">
        <f t="shared" si="9"/>
        <v>8</v>
      </c>
      <c r="AG28">
        <f t="shared" si="10"/>
        <v>26</v>
      </c>
    </row>
    <row r="29" spans="3:33">
      <c r="C29" t="s">
        <v>118</v>
      </c>
      <c r="D29" s="1">
        <v>0</v>
      </c>
      <c r="E29" s="1">
        <v>0</v>
      </c>
      <c r="F29" s="1">
        <v>0</v>
      </c>
      <c r="G29" s="1">
        <v>0</v>
      </c>
      <c r="H29" s="1">
        <v>30</v>
      </c>
      <c r="I29" s="1">
        <v>26</v>
      </c>
      <c r="J29" s="1">
        <v>17</v>
      </c>
      <c r="K29" s="1">
        <v>0</v>
      </c>
      <c r="L29" s="1">
        <v>0</v>
      </c>
      <c r="M29" s="1">
        <v>25</v>
      </c>
      <c r="N29" s="1">
        <v>39</v>
      </c>
      <c r="O29" s="1">
        <v>22</v>
      </c>
      <c r="P29" s="1">
        <v>0</v>
      </c>
      <c r="Q29" s="1">
        <v>22</v>
      </c>
      <c r="R29" s="1">
        <v>0</v>
      </c>
      <c r="S29" s="1">
        <v>29</v>
      </c>
      <c r="T29" s="1"/>
      <c r="U29" s="1"/>
      <c r="V29" s="1"/>
      <c r="W29" s="1"/>
      <c r="X29" s="1"/>
      <c r="Y29" s="1"/>
      <c r="Z29" s="1"/>
      <c r="AA29" s="1"/>
      <c r="AB29" s="1"/>
      <c r="AC29">
        <f t="shared" si="6"/>
        <v>210</v>
      </c>
      <c r="AD29">
        <f t="shared" si="7"/>
        <v>16</v>
      </c>
      <c r="AE29">
        <f t="shared" si="8"/>
        <v>8</v>
      </c>
      <c r="AF29">
        <f t="shared" si="9"/>
        <v>8</v>
      </c>
      <c r="AG29">
        <f t="shared" si="10"/>
        <v>26.25</v>
      </c>
    </row>
    <row r="30" spans="3:33">
      <c r="C30" t="s">
        <v>119</v>
      </c>
      <c r="D30" s="1">
        <v>30</v>
      </c>
      <c r="E30" s="1">
        <v>29</v>
      </c>
      <c r="F30" s="1">
        <v>18</v>
      </c>
      <c r="G30" s="1">
        <v>24</v>
      </c>
      <c r="H30" s="1">
        <v>0</v>
      </c>
      <c r="I30" s="1">
        <v>19</v>
      </c>
      <c r="J30" s="1">
        <v>21</v>
      </c>
      <c r="K30" s="1">
        <v>31</v>
      </c>
      <c r="L30" s="1">
        <v>19</v>
      </c>
      <c r="M30" s="1">
        <v>35</v>
      </c>
      <c r="N30" s="1"/>
      <c r="O30" s="1"/>
      <c r="P30" s="1"/>
      <c r="Q30" s="1"/>
      <c r="R30" s="1"/>
      <c r="S30" s="1"/>
      <c r="T30" s="1"/>
      <c r="U30" s="1"/>
      <c r="V30" s="1"/>
      <c r="W30" s="1"/>
      <c r="X30" s="1"/>
      <c r="Y30" s="1"/>
      <c r="Z30" s="1"/>
      <c r="AA30" s="1"/>
      <c r="AB30" s="1"/>
      <c r="AC30">
        <f t="shared" si="6"/>
        <v>226</v>
      </c>
      <c r="AD30">
        <f t="shared" si="7"/>
        <v>10</v>
      </c>
      <c r="AE30">
        <f t="shared" si="8"/>
        <v>1</v>
      </c>
      <c r="AF30">
        <f t="shared" si="9"/>
        <v>9</v>
      </c>
      <c r="AG30">
        <f t="shared" si="10"/>
        <v>25.111111111111111</v>
      </c>
    </row>
    <row r="31" spans="3:33">
      <c r="C31" t="s">
        <v>120</v>
      </c>
      <c r="D31" s="1">
        <v>23</v>
      </c>
      <c r="E31" s="1">
        <v>23</v>
      </c>
      <c r="F31" s="1">
        <v>34</v>
      </c>
      <c r="G31" s="1">
        <v>33</v>
      </c>
      <c r="H31" s="1">
        <v>0</v>
      </c>
      <c r="I31" s="1">
        <v>33</v>
      </c>
      <c r="J31" s="1">
        <v>30</v>
      </c>
      <c r="K31" s="1">
        <v>21</v>
      </c>
      <c r="L31" s="1">
        <v>26</v>
      </c>
      <c r="M31" s="1"/>
      <c r="N31" s="1"/>
      <c r="O31" s="1"/>
      <c r="P31" s="1"/>
      <c r="Q31" s="1"/>
      <c r="R31" s="1"/>
      <c r="S31" s="1"/>
      <c r="T31" s="1"/>
      <c r="U31" s="1"/>
      <c r="V31" s="1"/>
      <c r="W31" s="1"/>
      <c r="X31" s="1"/>
      <c r="Y31" s="1"/>
      <c r="Z31" s="1"/>
      <c r="AA31" s="1"/>
      <c r="AB31" s="1"/>
      <c r="AC31">
        <f t="shared" si="6"/>
        <v>223</v>
      </c>
      <c r="AD31">
        <f t="shared" si="7"/>
        <v>9</v>
      </c>
      <c r="AE31">
        <f t="shared" si="8"/>
        <v>1</v>
      </c>
      <c r="AF31">
        <f t="shared" si="9"/>
        <v>8</v>
      </c>
      <c r="AG31">
        <f t="shared" si="10"/>
        <v>27.875</v>
      </c>
    </row>
    <row r="32" spans="3:33">
      <c r="C32" t="s">
        <v>121</v>
      </c>
      <c r="D32" s="1">
        <v>32</v>
      </c>
      <c r="E32" s="1">
        <v>0</v>
      </c>
      <c r="F32" s="1">
        <v>19</v>
      </c>
      <c r="G32" s="1">
        <v>33</v>
      </c>
      <c r="H32" s="1">
        <v>0</v>
      </c>
      <c r="I32" s="1">
        <v>37</v>
      </c>
      <c r="J32" s="1">
        <v>59</v>
      </c>
      <c r="K32" s="1">
        <v>34</v>
      </c>
      <c r="L32" s="1"/>
      <c r="M32" s="1"/>
      <c r="N32" s="1"/>
      <c r="O32" s="1"/>
      <c r="P32" s="1"/>
      <c r="Q32" s="1"/>
      <c r="R32" s="1"/>
      <c r="S32" s="1"/>
      <c r="T32" s="1"/>
      <c r="U32" s="1"/>
      <c r="V32" s="1"/>
      <c r="W32" s="1"/>
      <c r="X32" s="1"/>
      <c r="Y32" s="1"/>
      <c r="Z32" s="1"/>
      <c r="AA32" s="1"/>
      <c r="AB32" s="1"/>
      <c r="AC32">
        <f t="shared" si="6"/>
        <v>214</v>
      </c>
      <c r="AD32">
        <f t="shared" si="7"/>
        <v>8</v>
      </c>
      <c r="AE32">
        <f t="shared" si="8"/>
        <v>2</v>
      </c>
      <c r="AF32">
        <f t="shared" si="9"/>
        <v>6</v>
      </c>
      <c r="AG32">
        <f t="shared" si="10"/>
        <v>35.666666666666664</v>
      </c>
    </row>
    <row r="33" spans="3:33">
      <c r="C33" t="s">
        <v>122</v>
      </c>
      <c r="D33" s="1">
        <v>30</v>
      </c>
      <c r="E33" s="1">
        <v>20</v>
      </c>
      <c r="F33" s="1">
        <v>0</v>
      </c>
      <c r="G33" s="1">
        <v>0</v>
      </c>
      <c r="H33" s="1">
        <v>28</v>
      </c>
      <c r="I33" s="1">
        <v>22</v>
      </c>
      <c r="J33" s="1">
        <v>27</v>
      </c>
      <c r="K33" s="1">
        <v>30</v>
      </c>
      <c r="L33" s="1">
        <v>19</v>
      </c>
      <c r="M33" s="1">
        <v>0</v>
      </c>
      <c r="N33" s="1">
        <v>30</v>
      </c>
      <c r="O33" s="1"/>
      <c r="P33" s="1"/>
      <c r="Q33" s="1"/>
      <c r="R33" s="1"/>
      <c r="S33" s="1"/>
      <c r="T33" s="1"/>
      <c r="U33" s="1"/>
      <c r="V33" s="1"/>
      <c r="W33" s="1"/>
      <c r="X33" s="1"/>
      <c r="Y33" s="1"/>
      <c r="Z33" s="1"/>
      <c r="AA33" s="1"/>
      <c r="AB33" s="1"/>
      <c r="AC33">
        <f t="shared" si="6"/>
        <v>206</v>
      </c>
      <c r="AD33">
        <f t="shared" si="7"/>
        <v>11</v>
      </c>
      <c r="AE33">
        <f t="shared" si="8"/>
        <v>3</v>
      </c>
      <c r="AF33">
        <f t="shared" si="9"/>
        <v>8</v>
      </c>
      <c r="AG33">
        <f t="shared" si="10"/>
        <v>25.75</v>
      </c>
    </row>
    <row r="34" spans="3:33">
      <c r="C34" t="s">
        <v>123</v>
      </c>
      <c r="D34" s="1">
        <v>32</v>
      </c>
      <c r="E34" s="1">
        <v>28</v>
      </c>
      <c r="F34" s="1">
        <v>24</v>
      </c>
      <c r="G34" s="1">
        <v>32</v>
      </c>
      <c r="H34" s="1">
        <v>21</v>
      </c>
      <c r="I34" s="1">
        <v>21</v>
      </c>
      <c r="J34" s="1">
        <v>23</v>
      </c>
      <c r="K34" s="1">
        <v>19</v>
      </c>
      <c r="L34" s="1"/>
      <c r="M34" s="1"/>
      <c r="N34" s="1"/>
      <c r="O34" s="1"/>
      <c r="P34" s="1"/>
      <c r="Q34" s="1"/>
      <c r="R34" s="1"/>
      <c r="S34" s="1"/>
      <c r="T34" s="1"/>
      <c r="U34" s="1"/>
      <c r="V34" s="1"/>
      <c r="W34" s="1"/>
      <c r="X34" s="1"/>
      <c r="Y34" s="1"/>
      <c r="Z34" s="1"/>
      <c r="AA34" s="1"/>
      <c r="AB34" s="1"/>
      <c r="AC34">
        <f t="shared" si="6"/>
        <v>200</v>
      </c>
      <c r="AD34">
        <f t="shared" si="7"/>
        <v>8</v>
      </c>
      <c r="AE34">
        <f t="shared" si="8"/>
        <v>0</v>
      </c>
      <c r="AF34">
        <f t="shared" si="9"/>
        <v>8</v>
      </c>
      <c r="AG34">
        <f t="shared" si="10"/>
        <v>25</v>
      </c>
    </row>
    <row r="35" spans="3:33">
      <c r="C35" t="s">
        <v>124</v>
      </c>
      <c r="D35" s="1">
        <v>0</v>
      </c>
      <c r="E35" s="1">
        <v>22</v>
      </c>
      <c r="F35" s="1">
        <v>27</v>
      </c>
      <c r="G35" s="1">
        <v>21</v>
      </c>
      <c r="H35" s="1">
        <v>25</v>
      </c>
      <c r="I35" s="1">
        <v>0</v>
      </c>
      <c r="J35" s="1">
        <v>25</v>
      </c>
      <c r="K35" s="1">
        <v>32</v>
      </c>
      <c r="L35" s="1">
        <v>18</v>
      </c>
      <c r="M35" s="1">
        <v>27</v>
      </c>
      <c r="N35" s="1">
        <v>22</v>
      </c>
      <c r="O35" s="1"/>
      <c r="P35" s="1"/>
      <c r="Q35" s="1"/>
      <c r="R35" s="1"/>
      <c r="S35" s="1"/>
      <c r="T35" s="1"/>
      <c r="U35" s="1"/>
      <c r="V35" s="1"/>
      <c r="W35" s="1"/>
      <c r="X35" s="1"/>
      <c r="Y35" s="1"/>
      <c r="Z35" s="1"/>
      <c r="AA35" s="1"/>
      <c r="AB35" s="1"/>
      <c r="AC35">
        <f t="shared" si="6"/>
        <v>219</v>
      </c>
      <c r="AD35">
        <f t="shared" si="7"/>
        <v>11</v>
      </c>
      <c r="AE35">
        <f t="shared" si="8"/>
        <v>2</v>
      </c>
      <c r="AF35">
        <f t="shared" si="9"/>
        <v>9</v>
      </c>
      <c r="AG35">
        <f t="shared" si="10"/>
        <v>24.333333333333332</v>
      </c>
    </row>
    <row r="36" spans="3:33">
      <c r="C36" t="s">
        <v>125</v>
      </c>
      <c r="D36" s="1">
        <v>21</v>
      </c>
      <c r="E36" s="1">
        <v>23</v>
      </c>
      <c r="F36" s="1">
        <v>38</v>
      </c>
      <c r="G36" s="1">
        <v>0</v>
      </c>
      <c r="H36" s="1">
        <v>28</v>
      </c>
      <c r="I36" s="1">
        <v>19</v>
      </c>
      <c r="J36" s="1">
        <v>34</v>
      </c>
      <c r="K36" s="1">
        <v>26</v>
      </c>
      <c r="L36" s="1">
        <v>22</v>
      </c>
      <c r="M36" s="1"/>
      <c r="N36" s="1"/>
      <c r="O36" s="1"/>
      <c r="P36" s="1"/>
      <c r="Q36" s="1"/>
      <c r="R36" s="1"/>
      <c r="S36" s="1"/>
      <c r="T36" s="1"/>
      <c r="U36" s="1"/>
      <c r="V36" s="1"/>
      <c r="W36" s="1"/>
      <c r="X36" s="1"/>
      <c r="Y36" s="1"/>
      <c r="Z36" s="1"/>
      <c r="AA36" s="1"/>
      <c r="AB36" s="1"/>
      <c r="AC36">
        <f t="shared" si="6"/>
        <v>211</v>
      </c>
      <c r="AD36">
        <f t="shared" si="7"/>
        <v>9</v>
      </c>
      <c r="AE36">
        <f t="shared" si="8"/>
        <v>1</v>
      </c>
      <c r="AF36">
        <f t="shared" si="9"/>
        <v>8</v>
      </c>
      <c r="AG36">
        <f t="shared" si="10"/>
        <v>26.375</v>
      </c>
    </row>
    <row r="37" spans="3:33">
      <c r="C37" t="s">
        <v>126</v>
      </c>
      <c r="D37" s="1">
        <v>21</v>
      </c>
      <c r="E37" s="1">
        <v>27</v>
      </c>
      <c r="F37" s="1">
        <v>30</v>
      </c>
      <c r="G37" s="1">
        <v>30</v>
      </c>
      <c r="H37" s="1">
        <v>30</v>
      </c>
      <c r="I37" s="1">
        <v>22</v>
      </c>
      <c r="J37" s="1">
        <v>23</v>
      </c>
      <c r="K37" s="1">
        <v>39</v>
      </c>
      <c r="L37" s="1"/>
      <c r="M37" s="1"/>
      <c r="N37" s="1"/>
      <c r="O37" s="1"/>
      <c r="P37" s="1"/>
      <c r="Q37" s="1"/>
      <c r="R37" s="1"/>
      <c r="S37" s="1"/>
      <c r="T37" s="1"/>
      <c r="U37" s="1"/>
      <c r="V37" s="1"/>
      <c r="W37" s="1"/>
      <c r="X37" s="1"/>
      <c r="Y37" s="1"/>
      <c r="Z37" s="1"/>
      <c r="AA37" s="1"/>
      <c r="AB37" s="1"/>
      <c r="AC37">
        <f t="shared" si="6"/>
        <v>222</v>
      </c>
      <c r="AD37">
        <f t="shared" si="7"/>
        <v>8</v>
      </c>
      <c r="AE37">
        <f t="shared" si="8"/>
        <v>0</v>
      </c>
      <c r="AF37">
        <f t="shared" si="9"/>
        <v>8</v>
      </c>
      <c r="AG37">
        <f t="shared" si="10"/>
        <v>27.75</v>
      </c>
    </row>
    <row r="38" spans="3:33">
      <c r="C38" t="s">
        <v>127</v>
      </c>
      <c r="D38" s="1">
        <v>24</v>
      </c>
      <c r="E38" s="1">
        <v>27</v>
      </c>
      <c r="F38" s="1">
        <v>20</v>
      </c>
      <c r="G38" s="1">
        <v>0</v>
      </c>
      <c r="H38" s="1">
        <v>21</v>
      </c>
      <c r="I38" s="1">
        <v>23</v>
      </c>
      <c r="J38" s="1">
        <v>0</v>
      </c>
      <c r="K38" s="1">
        <v>0</v>
      </c>
      <c r="L38" s="1">
        <v>23</v>
      </c>
      <c r="M38" s="1">
        <v>13</v>
      </c>
      <c r="N38" s="1">
        <v>33</v>
      </c>
      <c r="O38" s="1">
        <v>36</v>
      </c>
      <c r="P38" s="1"/>
      <c r="Q38" s="1"/>
      <c r="R38" s="1"/>
      <c r="S38" s="1"/>
      <c r="T38" s="1"/>
      <c r="U38" s="1"/>
      <c r="V38" s="1"/>
      <c r="W38" s="1"/>
      <c r="X38" s="1"/>
      <c r="Y38" s="1"/>
      <c r="Z38" s="1"/>
      <c r="AA38" s="1"/>
      <c r="AB38" s="1"/>
      <c r="AC38">
        <f t="shared" si="6"/>
        <v>220</v>
      </c>
      <c r="AD38">
        <f t="shared" si="7"/>
        <v>12</v>
      </c>
      <c r="AE38">
        <f t="shared" si="8"/>
        <v>3</v>
      </c>
      <c r="AF38">
        <f t="shared" si="9"/>
        <v>9</v>
      </c>
      <c r="AG38">
        <f t="shared" si="10"/>
        <v>24.444444444444443</v>
      </c>
    </row>
    <row r="39" spans="3:33">
      <c r="C39" t="s">
        <v>128</v>
      </c>
      <c r="D39" s="1">
        <v>22</v>
      </c>
      <c r="E39" s="1">
        <v>21</v>
      </c>
      <c r="F39" s="1">
        <v>23</v>
      </c>
      <c r="G39" s="1">
        <v>32</v>
      </c>
      <c r="H39" s="1">
        <v>22</v>
      </c>
      <c r="I39" s="1">
        <v>24</v>
      </c>
      <c r="J39" s="1">
        <v>19</v>
      </c>
      <c r="K39" s="1">
        <v>30</v>
      </c>
      <c r="L39" s="1">
        <v>27</v>
      </c>
      <c r="M39" s="1"/>
      <c r="N39" s="1"/>
      <c r="O39" s="1"/>
      <c r="P39" s="1"/>
      <c r="Q39" s="1"/>
      <c r="R39" s="1"/>
      <c r="S39" s="1"/>
      <c r="T39" s="1"/>
      <c r="U39" s="1"/>
      <c r="V39" s="1"/>
      <c r="W39" s="1"/>
      <c r="X39" s="1"/>
      <c r="Y39" s="1"/>
      <c r="Z39" s="1"/>
      <c r="AA39" s="1"/>
      <c r="AB39" s="1"/>
      <c r="AC39">
        <f t="shared" si="6"/>
        <v>220</v>
      </c>
      <c r="AD39">
        <f t="shared" si="7"/>
        <v>9</v>
      </c>
      <c r="AE39">
        <f t="shared" si="8"/>
        <v>0</v>
      </c>
      <c r="AF39">
        <f t="shared" si="9"/>
        <v>9</v>
      </c>
      <c r="AG39">
        <f t="shared" si="10"/>
        <v>24.444444444444443</v>
      </c>
    </row>
    <row r="40" spans="3:33">
      <c r="C40" t="s">
        <v>129</v>
      </c>
      <c r="D40" s="1">
        <v>31</v>
      </c>
      <c r="E40" s="1">
        <v>24</v>
      </c>
      <c r="F40" s="1">
        <v>34</v>
      </c>
      <c r="G40" s="1">
        <v>20</v>
      </c>
      <c r="H40" s="1">
        <v>28</v>
      </c>
      <c r="I40" s="1">
        <v>22</v>
      </c>
      <c r="J40" s="1">
        <v>39</v>
      </c>
      <c r="K40" s="1">
        <v>33</v>
      </c>
      <c r="L40" s="1"/>
      <c r="M40" s="1"/>
      <c r="N40" s="1"/>
      <c r="O40" s="1"/>
      <c r="P40" s="1"/>
      <c r="Q40" s="1"/>
      <c r="R40" s="1"/>
      <c r="S40" s="1"/>
      <c r="T40" s="1"/>
      <c r="U40" s="1"/>
      <c r="V40" s="1"/>
      <c r="W40" s="1"/>
      <c r="X40" s="1"/>
      <c r="Y40" s="1"/>
      <c r="Z40" s="1"/>
      <c r="AA40" s="1"/>
      <c r="AB40" s="1"/>
      <c r="AC40">
        <f t="shared" si="6"/>
        <v>231</v>
      </c>
      <c r="AD40">
        <f t="shared" si="7"/>
        <v>8</v>
      </c>
      <c r="AE40">
        <f t="shared" si="8"/>
        <v>0</v>
      </c>
      <c r="AF40">
        <f t="shared" si="9"/>
        <v>8</v>
      </c>
      <c r="AG40">
        <f t="shared" si="10"/>
        <v>28.875</v>
      </c>
    </row>
    <row r="41" spans="3:33">
      <c r="C41" t="s">
        <v>130</v>
      </c>
      <c r="D41" s="1">
        <v>21</v>
      </c>
      <c r="E41" s="1">
        <v>0</v>
      </c>
      <c r="F41" s="1">
        <v>18</v>
      </c>
      <c r="G41" s="1">
        <v>0</v>
      </c>
      <c r="H41" s="1">
        <v>28</v>
      </c>
      <c r="I41" s="1">
        <v>36</v>
      </c>
      <c r="J41" s="1">
        <v>0</v>
      </c>
      <c r="K41" s="1">
        <v>35</v>
      </c>
      <c r="L41" s="1">
        <v>21</v>
      </c>
      <c r="M41" s="1">
        <v>34</v>
      </c>
      <c r="N41" s="1">
        <v>8</v>
      </c>
      <c r="O41" s="1"/>
      <c r="P41" s="1"/>
      <c r="Q41" s="1"/>
      <c r="R41" s="1"/>
      <c r="S41" s="1"/>
      <c r="T41" s="1"/>
      <c r="U41" s="1"/>
      <c r="V41" s="1"/>
      <c r="W41" s="1"/>
      <c r="X41" s="1"/>
      <c r="Y41" s="1"/>
      <c r="Z41" s="1"/>
      <c r="AA41" s="1"/>
      <c r="AB41" s="1"/>
      <c r="AC41">
        <f t="shared" si="6"/>
        <v>201</v>
      </c>
      <c r="AD41">
        <f t="shared" si="7"/>
        <v>11</v>
      </c>
      <c r="AE41">
        <f t="shared" si="8"/>
        <v>3</v>
      </c>
      <c r="AF41">
        <f t="shared" si="9"/>
        <v>8</v>
      </c>
      <c r="AG41">
        <f t="shared" si="10"/>
        <v>25.125</v>
      </c>
    </row>
    <row r="42" spans="3:33">
      <c r="C42" t="s">
        <v>131</v>
      </c>
      <c r="D42" s="1">
        <v>20</v>
      </c>
      <c r="E42" s="1">
        <v>23</v>
      </c>
      <c r="F42" s="1">
        <v>29</v>
      </c>
      <c r="G42" s="1">
        <v>0</v>
      </c>
      <c r="H42" s="1">
        <v>25</v>
      </c>
      <c r="I42" s="1">
        <v>0</v>
      </c>
      <c r="J42" s="1">
        <v>25</v>
      </c>
      <c r="K42" s="1">
        <v>32</v>
      </c>
      <c r="L42" s="1">
        <v>0</v>
      </c>
      <c r="M42" s="1">
        <v>21</v>
      </c>
      <c r="N42" s="1">
        <v>29</v>
      </c>
      <c r="O42" s="1"/>
      <c r="P42" s="1"/>
      <c r="Q42" s="1"/>
      <c r="R42" s="1"/>
      <c r="S42" s="1"/>
      <c r="T42" s="1"/>
      <c r="U42" s="1"/>
      <c r="V42" s="1"/>
      <c r="W42" s="1"/>
      <c r="X42" s="1"/>
      <c r="Y42" s="1"/>
      <c r="Z42" s="1"/>
      <c r="AA42" s="1"/>
      <c r="AB42" s="1"/>
      <c r="AC42">
        <f t="shared" si="6"/>
        <v>204</v>
      </c>
      <c r="AD42">
        <f t="shared" si="7"/>
        <v>11</v>
      </c>
      <c r="AE42">
        <f t="shared" si="8"/>
        <v>3</v>
      </c>
      <c r="AF42">
        <f t="shared" si="9"/>
        <v>8</v>
      </c>
      <c r="AG42">
        <f t="shared" si="10"/>
        <v>25.5</v>
      </c>
    </row>
    <row r="43" spans="3:33">
      <c r="C43" t="s">
        <v>132</v>
      </c>
      <c r="D43" s="1">
        <v>28</v>
      </c>
      <c r="E43" s="1">
        <v>0</v>
      </c>
      <c r="F43" s="1">
        <v>30</v>
      </c>
      <c r="G43" s="1">
        <v>22</v>
      </c>
      <c r="H43" s="1">
        <v>20</v>
      </c>
      <c r="I43" s="1">
        <v>34</v>
      </c>
      <c r="J43" s="1">
        <v>0</v>
      </c>
      <c r="K43" s="1">
        <v>23</v>
      </c>
      <c r="L43" s="1">
        <v>28</v>
      </c>
      <c r="M43" s="1">
        <v>24</v>
      </c>
      <c r="N43" s="1"/>
      <c r="O43" s="1"/>
      <c r="P43" s="1"/>
      <c r="Q43" s="1"/>
      <c r="R43" s="1"/>
      <c r="S43" s="1"/>
      <c r="T43" s="1"/>
      <c r="U43" s="1"/>
      <c r="V43" s="1"/>
      <c r="W43" s="1"/>
      <c r="X43" s="1"/>
      <c r="Y43" s="1"/>
      <c r="Z43" s="1"/>
      <c r="AA43" s="1"/>
      <c r="AB43" s="1"/>
      <c r="AC43">
        <f t="shared" si="6"/>
        <v>209</v>
      </c>
      <c r="AD43">
        <f t="shared" si="7"/>
        <v>10</v>
      </c>
      <c r="AE43">
        <f t="shared" si="8"/>
        <v>2</v>
      </c>
      <c r="AF43">
        <f t="shared" si="9"/>
        <v>8</v>
      </c>
      <c r="AG43">
        <f t="shared" si="10"/>
        <v>26.125</v>
      </c>
    </row>
    <row r="44" spans="3:33">
      <c r="C44" t="s">
        <v>133</v>
      </c>
      <c r="D44" s="1">
        <v>0</v>
      </c>
      <c r="E44" s="1">
        <v>0</v>
      </c>
      <c r="F44" s="1">
        <v>37</v>
      </c>
      <c r="G44" s="1">
        <v>0</v>
      </c>
      <c r="H44" s="1">
        <v>0</v>
      </c>
      <c r="I44" s="1">
        <v>22</v>
      </c>
      <c r="J44" s="1">
        <v>12</v>
      </c>
      <c r="K44" s="1">
        <v>30</v>
      </c>
      <c r="L44" s="1">
        <v>32</v>
      </c>
      <c r="M44" s="1">
        <v>27</v>
      </c>
      <c r="N44" s="1">
        <v>22</v>
      </c>
      <c r="O44" s="1">
        <v>24</v>
      </c>
      <c r="P44" s="1"/>
      <c r="Q44" s="1"/>
      <c r="R44" s="1"/>
      <c r="S44" s="1"/>
      <c r="T44" s="1"/>
      <c r="U44" s="1"/>
      <c r="V44" s="1"/>
      <c r="W44" s="1"/>
      <c r="X44" s="1"/>
      <c r="Y44" s="1"/>
      <c r="Z44" s="1"/>
      <c r="AA44" s="1"/>
      <c r="AB44" s="1"/>
      <c r="AC44">
        <f t="shared" si="6"/>
        <v>206</v>
      </c>
      <c r="AD44">
        <f t="shared" si="7"/>
        <v>12</v>
      </c>
      <c r="AE44">
        <f t="shared" si="8"/>
        <v>4</v>
      </c>
      <c r="AF44">
        <f t="shared" si="9"/>
        <v>8</v>
      </c>
      <c r="AG44">
        <f t="shared" si="10"/>
        <v>25.75</v>
      </c>
    </row>
    <row r="45" spans="3:33">
      <c r="C45" t="s">
        <v>134</v>
      </c>
      <c r="D45" s="1">
        <v>0</v>
      </c>
      <c r="E45" s="1">
        <v>27</v>
      </c>
      <c r="F45" s="1">
        <v>23</v>
      </c>
      <c r="G45" s="1">
        <v>23</v>
      </c>
      <c r="H45" s="1">
        <v>22</v>
      </c>
      <c r="I45" s="1">
        <v>0</v>
      </c>
      <c r="J45" s="1">
        <v>22</v>
      </c>
      <c r="K45" s="1">
        <v>27</v>
      </c>
      <c r="L45" s="1">
        <v>0</v>
      </c>
      <c r="M45" s="1">
        <v>25</v>
      </c>
      <c r="N45" s="1">
        <v>32</v>
      </c>
      <c r="O45" s="1"/>
      <c r="P45" s="1"/>
      <c r="Q45" s="1"/>
      <c r="R45" s="1"/>
      <c r="S45" s="1"/>
      <c r="T45" s="1"/>
      <c r="U45" s="1"/>
      <c r="V45" s="1"/>
      <c r="W45" s="1"/>
      <c r="X45" s="1"/>
      <c r="Y45" s="1"/>
      <c r="Z45" s="1"/>
      <c r="AA45" s="1"/>
      <c r="AB45" s="1"/>
      <c r="AC45">
        <f t="shared" si="6"/>
        <v>201</v>
      </c>
      <c r="AD45">
        <f t="shared" si="7"/>
        <v>11</v>
      </c>
      <c r="AE45">
        <f t="shared" si="8"/>
        <v>3</v>
      </c>
      <c r="AF45">
        <f t="shared" si="9"/>
        <v>8</v>
      </c>
      <c r="AG45">
        <f t="shared" si="10"/>
        <v>25.125</v>
      </c>
    </row>
    <row r="46" spans="3:33">
      <c r="C46" t="s">
        <v>135</v>
      </c>
      <c r="D46" s="1">
        <v>0</v>
      </c>
      <c r="E46" s="1">
        <v>37</v>
      </c>
      <c r="F46" s="1">
        <v>0</v>
      </c>
      <c r="G46" s="1">
        <v>0</v>
      </c>
      <c r="H46" s="1">
        <v>28</v>
      </c>
      <c r="I46" s="1">
        <v>30</v>
      </c>
      <c r="J46" s="1">
        <v>0</v>
      </c>
      <c r="K46" s="1">
        <v>23</v>
      </c>
      <c r="L46" s="1">
        <v>0</v>
      </c>
      <c r="M46" s="1">
        <v>24</v>
      </c>
      <c r="N46" s="1">
        <v>30</v>
      </c>
      <c r="O46" s="1">
        <v>35</v>
      </c>
      <c r="P46" s="1"/>
      <c r="Q46" s="1"/>
      <c r="R46" s="1"/>
      <c r="S46" s="1"/>
      <c r="T46" s="1"/>
      <c r="U46" s="1"/>
      <c r="V46" s="1"/>
      <c r="W46" s="1"/>
      <c r="X46" s="1"/>
      <c r="Y46" s="1"/>
      <c r="Z46" s="1"/>
      <c r="AA46" s="1"/>
      <c r="AB46" s="1"/>
      <c r="AC46">
        <f t="shared" si="6"/>
        <v>207</v>
      </c>
      <c r="AD46">
        <f t="shared" si="7"/>
        <v>12</v>
      </c>
      <c r="AE46">
        <f t="shared" si="8"/>
        <v>5</v>
      </c>
      <c r="AF46">
        <f t="shared" si="9"/>
        <v>7</v>
      </c>
      <c r="AG46">
        <f t="shared" si="10"/>
        <v>29.571428571428573</v>
      </c>
    </row>
    <row r="47" spans="3:33">
      <c r="C47" t="s">
        <v>136</v>
      </c>
      <c r="D47" s="1">
        <v>26</v>
      </c>
      <c r="E47" s="1">
        <v>41</v>
      </c>
      <c r="F47" s="1">
        <v>34</v>
      </c>
      <c r="G47" s="1">
        <v>31</v>
      </c>
      <c r="H47" s="1">
        <v>0</v>
      </c>
      <c r="I47" s="1">
        <v>26</v>
      </c>
      <c r="J47" s="1">
        <v>27</v>
      </c>
      <c r="K47" s="1">
        <v>22</v>
      </c>
      <c r="L47" s="1"/>
      <c r="M47" s="1"/>
      <c r="N47" s="1"/>
      <c r="O47" s="1"/>
      <c r="P47" s="1"/>
      <c r="Q47" s="1"/>
      <c r="R47" s="1"/>
      <c r="S47" s="1"/>
      <c r="T47" s="1"/>
      <c r="U47" s="1"/>
      <c r="V47" s="1"/>
      <c r="W47" s="1"/>
      <c r="X47" s="1"/>
      <c r="Y47" s="1"/>
      <c r="Z47" s="1"/>
      <c r="AA47" s="1"/>
      <c r="AB47" s="1"/>
      <c r="AC47">
        <f t="shared" si="6"/>
        <v>207</v>
      </c>
      <c r="AD47">
        <f t="shared" si="7"/>
        <v>8</v>
      </c>
      <c r="AE47">
        <f t="shared" si="8"/>
        <v>1</v>
      </c>
      <c r="AF47">
        <f t="shared" si="9"/>
        <v>7</v>
      </c>
      <c r="AG47">
        <f t="shared" si="10"/>
        <v>29.571428571428573</v>
      </c>
    </row>
    <row r="48" spans="3:33">
      <c r="C48" t="s">
        <v>137</v>
      </c>
      <c r="D48" s="1">
        <v>24</v>
      </c>
      <c r="E48" s="1">
        <v>29</v>
      </c>
      <c r="F48" s="1">
        <v>21</v>
      </c>
      <c r="G48" s="1">
        <v>25</v>
      </c>
      <c r="H48" s="1">
        <v>0</v>
      </c>
      <c r="I48" s="1">
        <v>20</v>
      </c>
      <c r="J48" s="1">
        <v>0</v>
      </c>
      <c r="K48" s="1">
        <v>22</v>
      </c>
      <c r="L48" s="1">
        <v>28</v>
      </c>
      <c r="M48" s="1">
        <v>25</v>
      </c>
      <c r="N48" s="1">
        <v>0</v>
      </c>
      <c r="O48" s="1">
        <v>31</v>
      </c>
      <c r="P48" s="1"/>
      <c r="Q48" s="1"/>
      <c r="R48" s="1"/>
      <c r="S48" s="1"/>
      <c r="T48" s="1"/>
      <c r="U48" s="1"/>
      <c r="V48" s="1"/>
      <c r="W48" s="1"/>
      <c r="X48" s="1"/>
      <c r="Y48" s="1"/>
      <c r="Z48" s="1"/>
      <c r="AA48" s="1"/>
      <c r="AB48" s="1"/>
      <c r="AC48">
        <f t="shared" ref="AC48:AC79" si="11">SUM(D48:AB48)</f>
        <v>225</v>
      </c>
      <c r="AD48">
        <f t="shared" ref="AD48:AD79" si="12">COUNT(D48:AB48)</f>
        <v>12</v>
      </c>
      <c r="AE48">
        <f t="shared" ref="AE48:AE79" si="13">COUNTIF(D48:AB48,0)</f>
        <v>3</v>
      </c>
      <c r="AF48">
        <f t="shared" si="9"/>
        <v>9</v>
      </c>
      <c r="AG48">
        <f t="shared" si="10"/>
        <v>25</v>
      </c>
    </row>
    <row r="49" spans="3:33">
      <c r="C49" t="s">
        <v>138</v>
      </c>
      <c r="D49" s="1">
        <v>25</v>
      </c>
      <c r="E49" s="1">
        <v>0</v>
      </c>
      <c r="F49" s="1">
        <v>24</v>
      </c>
      <c r="G49" s="1">
        <v>24</v>
      </c>
      <c r="H49" s="1">
        <v>0</v>
      </c>
      <c r="I49" s="1">
        <v>18</v>
      </c>
      <c r="J49" s="1">
        <v>0</v>
      </c>
      <c r="K49" s="1">
        <v>0</v>
      </c>
      <c r="L49" s="1">
        <v>33</v>
      </c>
      <c r="M49" s="1">
        <v>22</v>
      </c>
      <c r="N49" s="1">
        <v>37</v>
      </c>
      <c r="O49" s="1">
        <v>0</v>
      </c>
      <c r="P49" s="1">
        <v>36</v>
      </c>
      <c r="Q49" s="1"/>
      <c r="R49" s="1"/>
      <c r="S49" s="1"/>
      <c r="T49" s="1"/>
      <c r="U49" s="1"/>
      <c r="V49" s="1"/>
      <c r="W49" s="1"/>
      <c r="X49" s="1"/>
      <c r="Y49" s="1"/>
      <c r="Z49" s="1"/>
      <c r="AA49" s="1"/>
      <c r="AB49" s="1"/>
      <c r="AC49">
        <f t="shared" si="11"/>
        <v>219</v>
      </c>
      <c r="AD49">
        <f t="shared" si="12"/>
        <v>13</v>
      </c>
      <c r="AE49">
        <f t="shared" si="13"/>
        <v>5</v>
      </c>
      <c r="AF49">
        <f t="shared" si="9"/>
        <v>8</v>
      </c>
      <c r="AG49">
        <f t="shared" si="10"/>
        <v>27.375</v>
      </c>
    </row>
    <row r="50" spans="3:33">
      <c r="C50" t="s">
        <v>139</v>
      </c>
      <c r="D50" s="1">
        <v>33</v>
      </c>
      <c r="E50" s="1">
        <v>21</v>
      </c>
      <c r="F50" s="1">
        <v>21</v>
      </c>
      <c r="G50" s="1">
        <v>30</v>
      </c>
      <c r="H50" s="1">
        <v>33</v>
      </c>
      <c r="I50" s="1">
        <v>33</v>
      </c>
      <c r="J50" s="1">
        <v>22</v>
      </c>
      <c r="K50" s="1">
        <v>21</v>
      </c>
      <c r="L50" s="1"/>
      <c r="M50" s="1"/>
      <c r="N50" s="1"/>
      <c r="O50" s="1"/>
      <c r="P50" s="1"/>
      <c r="Q50" s="1"/>
      <c r="R50" s="1"/>
      <c r="S50" s="1"/>
      <c r="T50" s="1"/>
      <c r="U50" s="1"/>
      <c r="V50" s="1"/>
      <c r="W50" s="1"/>
      <c r="X50" s="1"/>
      <c r="Y50" s="1"/>
      <c r="Z50" s="1"/>
      <c r="AA50" s="1"/>
      <c r="AB50" s="1"/>
      <c r="AC50">
        <f t="shared" si="11"/>
        <v>214</v>
      </c>
      <c r="AD50">
        <f t="shared" si="12"/>
        <v>8</v>
      </c>
      <c r="AE50">
        <f t="shared" si="13"/>
        <v>0</v>
      </c>
      <c r="AF50">
        <f t="shared" si="9"/>
        <v>8</v>
      </c>
      <c r="AG50">
        <f t="shared" si="10"/>
        <v>26.75</v>
      </c>
    </row>
    <row r="51" spans="3:33">
      <c r="C51" t="s">
        <v>140</v>
      </c>
      <c r="D51" s="1">
        <v>29</v>
      </c>
      <c r="E51" s="1">
        <v>20</v>
      </c>
      <c r="F51" s="1">
        <v>32</v>
      </c>
      <c r="G51" s="1">
        <v>0</v>
      </c>
      <c r="H51" s="1">
        <v>23</v>
      </c>
      <c r="I51" s="1">
        <v>0</v>
      </c>
      <c r="J51" s="1">
        <v>31</v>
      </c>
      <c r="K51" s="1">
        <v>0</v>
      </c>
      <c r="L51" s="1">
        <v>0</v>
      </c>
      <c r="M51" s="1">
        <v>18</v>
      </c>
      <c r="N51" s="1">
        <v>22</v>
      </c>
      <c r="O51" s="1">
        <v>24</v>
      </c>
      <c r="P51" s="1">
        <v>24</v>
      </c>
      <c r="Q51" s="1"/>
      <c r="R51" s="1"/>
      <c r="S51" s="1"/>
      <c r="T51" s="1"/>
      <c r="U51" s="1"/>
      <c r="V51" s="1"/>
      <c r="W51" s="1"/>
      <c r="X51" s="1"/>
      <c r="Y51" s="1"/>
      <c r="Z51" s="1"/>
      <c r="AA51" s="1"/>
      <c r="AB51" s="1"/>
      <c r="AC51">
        <f t="shared" si="11"/>
        <v>223</v>
      </c>
      <c r="AD51">
        <f t="shared" si="12"/>
        <v>13</v>
      </c>
      <c r="AE51">
        <f t="shared" si="13"/>
        <v>4</v>
      </c>
      <c r="AF51">
        <f t="shared" si="9"/>
        <v>9</v>
      </c>
      <c r="AG51">
        <f t="shared" si="10"/>
        <v>24.777777777777779</v>
      </c>
    </row>
    <row r="52" spans="3:33">
      <c r="C52" t="s">
        <v>141</v>
      </c>
      <c r="D52" s="1">
        <v>32</v>
      </c>
      <c r="E52" s="1">
        <v>0</v>
      </c>
      <c r="F52" s="1">
        <v>33</v>
      </c>
      <c r="G52" s="1">
        <v>33</v>
      </c>
      <c r="H52" s="1">
        <v>13</v>
      </c>
      <c r="I52" s="1">
        <v>21</v>
      </c>
      <c r="J52" s="1">
        <v>21</v>
      </c>
      <c r="K52" s="1">
        <v>35</v>
      </c>
      <c r="L52" s="1">
        <v>29</v>
      </c>
      <c r="M52" s="1"/>
      <c r="N52" s="1"/>
      <c r="O52" s="1"/>
      <c r="P52" s="1"/>
      <c r="Q52" s="1"/>
      <c r="R52" s="1"/>
      <c r="S52" s="1"/>
      <c r="T52" s="1"/>
      <c r="U52" s="1"/>
      <c r="V52" s="1"/>
      <c r="W52" s="1"/>
      <c r="X52" s="1"/>
      <c r="Y52" s="1"/>
      <c r="Z52" s="1"/>
      <c r="AA52" s="1"/>
      <c r="AB52" s="1"/>
      <c r="AC52">
        <f t="shared" si="11"/>
        <v>217</v>
      </c>
      <c r="AD52">
        <f t="shared" si="12"/>
        <v>9</v>
      </c>
      <c r="AE52">
        <f t="shared" si="13"/>
        <v>1</v>
      </c>
      <c r="AF52">
        <f t="shared" si="9"/>
        <v>8</v>
      </c>
      <c r="AG52">
        <f t="shared" si="10"/>
        <v>27.125</v>
      </c>
    </row>
    <row r="53" spans="3:33">
      <c r="C53" t="s">
        <v>142</v>
      </c>
      <c r="D53" s="1">
        <v>0</v>
      </c>
      <c r="E53" s="1">
        <v>11</v>
      </c>
      <c r="F53" s="1">
        <v>23</v>
      </c>
      <c r="G53" s="1">
        <v>21</v>
      </c>
      <c r="H53" s="1">
        <v>0</v>
      </c>
      <c r="I53" s="1">
        <v>25</v>
      </c>
      <c r="J53" s="1">
        <v>20</v>
      </c>
      <c r="K53" s="1">
        <v>25</v>
      </c>
      <c r="L53" s="1">
        <v>0</v>
      </c>
      <c r="M53" s="1">
        <v>18</v>
      </c>
      <c r="N53" s="1">
        <v>28</v>
      </c>
      <c r="O53" s="1">
        <v>21</v>
      </c>
      <c r="P53" s="1">
        <v>0</v>
      </c>
      <c r="Q53" s="1">
        <v>20</v>
      </c>
      <c r="R53" s="1"/>
      <c r="S53" s="1"/>
      <c r="T53" s="1"/>
      <c r="U53" s="1"/>
      <c r="V53" s="1"/>
      <c r="W53" s="1"/>
      <c r="X53" s="1"/>
      <c r="Y53" s="1"/>
      <c r="Z53" s="1"/>
      <c r="AA53" s="1"/>
      <c r="AB53" s="1"/>
      <c r="AC53">
        <f t="shared" si="11"/>
        <v>212</v>
      </c>
      <c r="AD53">
        <f t="shared" si="12"/>
        <v>14</v>
      </c>
      <c r="AE53">
        <f t="shared" si="13"/>
        <v>4</v>
      </c>
      <c r="AF53">
        <f t="shared" si="9"/>
        <v>10</v>
      </c>
      <c r="AG53">
        <f t="shared" si="10"/>
        <v>21.2</v>
      </c>
    </row>
    <row r="54" spans="3:33">
      <c r="C54" t="s">
        <v>143</v>
      </c>
      <c r="D54" s="1">
        <v>32</v>
      </c>
      <c r="E54" s="1">
        <v>0</v>
      </c>
      <c r="F54" s="1">
        <v>0</v>
      </c>
      <c r="G54" s="1">
        <v>29</v>
      </c>
      <c r="H54" s="1">
        <v>32</v>
      </c>
      <c r="I54" s="1">
        <v>21</v>
      </c>
      <c r="J54" s="1">
        <v>25</v>
      </c>
      <c r="K54" s="1">
        <v>0</v>
      </c>
      <c r="L54" s="1">
        <v>0</v>
      </c>
      <c r="M54" s="1">
        <v>25</v>
      </c>
      <c r="N54" s="1">
        <v>23</v>
      </c>
      <c r="O54" s="1">
        <v>30</v>
      </c>
      <c r="P54" s="1"/>
      <c r="Q54" s="1"/>
      <c r="R54" s="1"/>
      <c r="S54" s="1"/>
      <c r="T54" s="1"/>
      <c r="U54" s="1"/>
      <c r="V54" s="1"/>
      <c r="W54" s="1"/>
      <c r="X54" s="1"/>
      <c r="Y54" s="1"/>
      <c r="Z54" s="1"/>
      <c r="AA54" s="1"/>
      <c r="AB54" s="1"/>
      <c r="AC54">
        <f t="shared" si="11"/>
        <v>217</v>
      </c>
      <c r="AD54">
        <f t="shared" si="12"/>
        <v>12</v>
      </c>
      <c r="AE54">
        <f t="shared" si="13"/>
        <v>4</v>
      </c>
      <c r="AF54">
        <f t="shared" si="9"/>
        <v>8</v>
      </c>
      <c r="AG54">
        <f t="shared" si="10"/>
        <v>27.125</v>
      </c>
    </row>
    <row r="55" spans="3:33">
      <c r="C55" t="s">
        <v>144</v>
      </c>
      <c r="D55" s="1">
        <v>23</v>
      </c>
      <c r="E55" s="1">
        <v>0</v>
      </c>
      <c r="F55" s="1">
        <v>24</v>
      </c>
      <c r="G55" s="1">
        <v>34</v>
      </c>
      <c r="H55" s="1">
        <v>0</v>
      </c>
      <c r="I55" s="1">
        <v>6</v>
      </c>
      <c r="J55" s="1">
        <v>10</v>
      </c>
      <c r="K55" s="1">
        <v>23</v>
      </c>
      <c r="L55" s="1">
        <v>28</v>
      </c>
      <c r="M55" s="1">
        <v>23</v>
      </c>
      <c r="N55" s="1">
        <v>32</v>
      </c>
      <c r="O55" s="1"/>
      <c r="P55" s="1"/>
      <c r="Q55" s="1"/>
      <c r="R55" s="1"/>
      <c r="S55" s="1"/>
      <c r="T55" s="1"/>
      <c r="U55" s="1"/>
      <c r="V55" s="1"/>
      <c r="W55" s="1"/>
      <c r="X55" s="1"/>
      <c r="Y55" s="1"/>
      <c r="Z55" s="1"/>
      <c r="AA55" s="1"/>
      <c r="AB55" s="1"/>
      <c r="AC55">
        <f t="shared" si="11"/>
        <v>203</v>
      </c>
      <c r="AD55">
        <f t="shared" si="12"/>
        <v>11</v>
      </c>
      <c r="AE55">
        <f t="shared" si="13"/>
        <v>2</v>
      </c>
      <c r="AF55">
        <f t="shared" si="9"/>
        <v>9</v>
      </c>
      <c r="AG55">
        <f t="shared" si="10"/>
        <v>22.555555555555557</v>
      </c>
    </row>
    <row r="56" spans="3:33">
      <c r="C56" t="s">
        <v>145</v>
      </c>
      <c r="D56" s="1">
        <v>0</v>
      </c>
      <c r="E56" s="1">
        <v>28</v>
      </c>
      <c r="F56" s="1">
        <v>26</v>
      </c>
      <c r="G56" s="1">
        <v>0</v>
      </c>
      <c r="H56" s="1">
        <v>29</v>
      </c>
      <c r="I56" s="1">
        <v>31</v>
      </c>
      <c r="J56" s="1">
        <v>0</v>
      </c>
      <c r="K56" s="1">
        <v>32</v>
      </c>
      <c r="L56" s="1">
        <v>31</v>
      </c>
      <c r="M56" s="1">
        <v>27</v>
      </c>
      <c r="N56" s="1"/>
      <c r="O56" s="1"/>
      <c r="P56" s="1"/>
      <c r="Q56" s="1"/>
      <c r="R56" s="1"/>
      <c r="S56" s="1"/>
      <c r="T56" s="1"/>
      <c r="U56" s="1"/>
      <c r="V56" s="1"/>
      <c r="W56" s="1"/>
      <c r="X56" s="1"/>
      <c r="Y56" s="1"/>
      <c r="Z56" s="1"/>
      <c r="AA56" s="1"/>
      <c r="AB56" s="1"/>
      <c r="AC56">
        <f t="shared" si="11"/>
        <v>204</v>
      </c>
      <c r="AD56">
        <f t="shared" si="12"/>
        <v>10</v>
      </c>
      <c r="AE56">
        <f t="shared" si="13"/>
        <v>3</v>
      </c>
      <c r="AF56">
        <f t="shared" si="9"/>
        <v>7</v>
      </c>
      <c r="AG56">
        <f t="shared" si="10"/>
        <v>29.142857142857142</v>
      </c>
    </row>
    <row r="57" spans="3:33">
      <c r="C57" t="s">
        <v>146</v>
      </c>
      <c r="D57" s="1">
        <v>23</v>
      </c>
      <c r="E57" s="1">
        <v>26</v>
      </c>
      <c r="F57" s="1">
        <v>0</v>
      </c>
      <c r="G57" s="1">
        <v>22</v>
      </c>
      <c r="H57" s="1">
        <v>17</v>
      </c>
      <c r="I57" s="1">
        <v>19</v>
      </c>
      <c r="J57" s="1">
        <v>23</v>
      </c>
      <c r="K57" s="1">
        <v>24</v>
      </c>
      <c r="L57" s="1">
        <v>21</v>
      </c>
      <c r="M57" s="1">
        <v>33</v>
      </c>
      <c r="N57" s="1"/>
      <c r="O57" s="1"/>
      <c r="P57" s="1"/>
      <c r="Q57" s="1"/>
      <c r="R57" s="1"/>
      <c r="S57" s="1"/>
      <c r="T57" s="1"/>
      <c r="U57" s="1"/>
      <c r="V57" s="1"/>
      <c r="W57" s="1"/>
      <c r="X57" s="1"/>
      <c r="Y57" s="1"/>
      <c r="Z57" s="1"/>
      <c r="AA57" s="1"/>
      <c r="AB57" s="1"/>
      <c r="AC57">
        <f t="shared" si="11"/>
        <v>208</v>
      </c>
      <c r="AD57">
        <f t="shared" si="12"/>
        <v>10</v>
      </c>
      <c r="AE57">
        <f t="shared" si="13"/>
        <v>1</v>
      </c>
      <c r="AF57">
        <f t="shared" si="9"/>
        <v>9</v>
      </c>
      <c r="AG57">
        <f t="shared" si="10"/>
        <v>23.111111111111111</v>
      </c>
    </row>
    <row r="58" spans="3:33">
      <c r="C58" t="s">
        <v>147</v>
      </c>
      <c r="D58" s="1">
        <v>31</v>
      </c>
      <c r="E58" s="1">
        <v>38</v>
      </c>
      <c r="F58" s="1">
        <v>34</v>
      </c>
      <c r="G58" s="1">
        <v>26</v>
      </c>
      <c r="H58" s="1">
        <v>67</v>
      </c>
      <c r="I58" s="1">
        <v>22</v>
      </c>
      <c r="J58" s="1"/>
      <c r="K58" s="1"/>
      <c r="L58" s="1"/>
      <c r="M58" s="1"/>
      <c r="N58" s="1"/>
      <c r="O58" s="1"/>
      <c r="P58" s="1"/>
      <c r="Q58" s="1"/>
      <c r="R58" s="1"/>
      <c r="S58" s="1"/>
      <c r="T58" s="1"/>
      <c r="U58" s="1"/>
      <c r="V58" s="1"/>
      <c r="W58" s="1"/>
      <c r="X58" s="1"/>
      <c r="Y58" s="1"/>
      <c r="Z58" s="1"/>
      <c r="AA58" s="1"/>
      <c r="AB58" s="1"/>
      <c r="AC58">
        <f t="shared" si="11"/>
        <v>218</v>
      </c>
      <c r="AD58">
        <f t="shared" si="12"/>
        <v>6</v>
      </c>
      <c r="AE58">
        <f t="shared" si="13"/>
        <v>0</v>
      </c>
      <c r="AF58">
        <f t="shared" si="9"/>
        <v>6</v>
      </c>
      <c r="AG58">
        <f t="shared" si="10"/>
        <v>36.333333333333336</v>
      </c>
    </row>
    <row r="59" spans="3:33">
      <c r="C59" t="s">
        <v>148</v>
      </c>
      <c r="D59" s="1">
        <v>23</v>
      </c>
      <c r="E59" s="1">
        <v>28</v>
      </c>
      <c r="F59" s="1">
        <v>23</v>
      </c>
      <c r="G59" s="1">
        <v>0</v>
      </c>
      <c r="H59" s="1">
        <v>24</v>
      </c>
      <c r="I59" s="1">
        <v>0</v>
      </c>
      <c r="J59" s="1">
        <v>30</v>
      </c>
      <c r="K59" s="1">
        <v>24</v>
      </c>
      <c r="L59" s="1">
        <v>0</v>
      </c>
      <c r="M59" s="1">
        <v>27</v>
      </c>
      <c r="N59" s="1">
        <v>30</v>
      </c>
      <c r="O59" s="1"/>
      <c r="P59" s="1"/>
      <c r="Q59" s="1"/>
      <c r="R59" s="1"/>
      <c r="S59" s="1"/>
      <c r="T59" s="1"/>
      <c r="U59" s="1"/>
      <c r="V59" s="1"/>
      <c r="W59" s="1"/>
      <c r="X59" s="1"/>
      <c r="Y59" s="1"/>
      <c r="Z59" s="1"/>
      <c r="AA59" s="1"/>
      <c r="AB59" s="1"/>
      <c r="AC59">
        <f t="shared" si="11"/>
        <v>209</v>
      </c>
      <c r="AD59">
        <f t="shared" si="12"/>
        <v>11</v>
      </c>
      <c r="AE59">
        <f t="shared" si="13"/>
        <v>3</v>
      </c>
      <c r="AF59">
        <f t="shared" si="9"/>
        <v>8</v>
      </c>
      <c r="AG59">
        <f t="shared" si="10"/>
        <v>26.125</v>
      </c>
    </row>
    <row r="60" spans="3:33">
      <c r="C60" t="s">
        <v>149</v>
      </c>
      <c r="D60" s="1">
        <v>24</v>
      </c>
      <c r="E60" s="1">
        <v>32</v>
      </c>
      <c r="F60" s="1">
        <v>21</v>
      </c>
      <c r="G60" s="1">
        <v>32</v>
      </c>
      <c r="H60" s="1">
        <v>34</v>
      </c>
      <c r="I60" s="1">
        <v>0</v>
      </c>
      <c r="J60" s="1">
        <v>31</v>
      </c>
      <c r="K60" s="1">
        <v>27</v>
      </c>
      <c r="L60" s="1"/>
      <c r="M60" s="1"/>
      <c r="N60" s="1"/>
      <c r="O60" s="1"/>
      <c r="P60" s="1"/>
      <c r="Q60" s="1"/>
      <c r="R60" s="1"/>
      <c r="S60" s="1"/>
      <c r="T60" s="1"/>
      <c r="U60" s="1"/>
      <c r="V60" s="1"/>
      <c r="W60" s="1"/>
      <c r="X60" s="1"/>
      <c r="Y60" s="1"/>
      <c r="Z60" s="1"/>
      <c r="AA60" s="1"/>
      <c r="AB60" s="1"/>
      <c r="AC60">
        <f t="shared" si="11"/>
        <v>201</v>
      </c>
      <c r="AD60">
        <f t="shared" si="12"/>
        <v>8</v>
      </c>
      <c r="AE60">
        <f t="shared" si="13"/>
        <v>1</v>
      </c>
      <c r="AF60">
        <f t="shared" si="9"/>
        <v>7</v>
      </c>
      <c r="AG60">
        <f t="shared" si="10"/>
        <v>28.714285714285715</v>
      </c>
    </row>
    <row r="61" spans="3:33">
      <c r="C61" t="s">
        <v>150</v>
      </c>
      <c r="D61" s="1">
        <v>0</v>
      </c>
      <c r="E61" s="1">
        <v>25</v>
      </c>
      <c r="F61" s="1">
        <v>19</v>
      </c>
      <c r="G61" s="1">
        <v>0</v>
      </c>
      <c r="H61" s="1">
        <v>22</v>
      </c>
      <c r="I61" s="1">
        <v>0</v>
      </c>
      <c r="J61" s="1">
        <v>24</v>
      </c>
      <c r="K61" s="1">
        <v>0</v>
      </c>
      <c r="L61" s="1">
        <v>33</v>
      </c>
      <c r="M61" s="1">
        <v>42</v>
      </c>
      <c r="N61" s="1">
        <v>0</v>
      </c>
      <c r="O61" s="1">
        <v>26</v>
      </c>
      <c r="P61" s="1">
        <v>22</v>
      </c>
      <c r="Q61" s="1"/>
      <c r="R61" s="1"/>
      <c r="S61" s="1"/>
      <c r="T61" s="1"/>
      <c r="U61" s="1"/>
      <c r="V61" s="1"/>
      <c r="W61" s="1"/>
      <c r="X61" s="1"/>
      <c r="Y61" s="1"/>
      <c r="Z61" s="1"/>
      <c r="AA61" s="1"/>
      <c r="AB61" s="1"/>
      <c r="AC61">
        <f t="shared" si="11"/>
        <v>213</v>
      </c>
      <c r="AD61">
        <f t="shared" si="12"/>
        <v>13</v>
      </c>
      <c r="AE61">
        <f t="shared" si="13"/>
        <v>5</v>
      </c>
      <c r="AF61">
        <f t="shared" si="9"/>
        <v>8</v>
      </c>
      <c r="AG61">
        <f t="shared" si="10"/>
        <v>26.625</v>
      </c>
    </row>
    <row r="62" spans="3:33">
      <c r="C62" t="s">
        <v>151</v>
      </c>
      <c r="D62" s="1">
        <v>25</v>
      </c>
      <c r="E62" s="1">
        <v>22</v>
      </c>
      <c r="F62" s="1">
        <v>26</v>
      </c>
      <c r="G62" s="1">
        <v>0</v>
      </c>
      <c r="H62" s="1">
        <v>19</v>
      </c>
      <c r="I62" s="1">
        <v>25</v>
      </c>
      <c r="J62" s="1">
        <v>30</v>
      </c>
      <c r="K62" s="1">
        <v>0</v>
      </c>
      <c r="L62" s="1">
        <v>32</v>
      </c>
      <c r="M62" s="1">
        <v>28</v>
      </c>
      <c r="N62" s="1"/>
      <c r="O62" s="1"/>
      <c r="P62" s="1"/>
      <c r="Q62" s="1"/>
      <c r="R62" s="1"/>
      <c r="S62" s="1"/>
      <c r="T62" s="1"/>
      <c r="U62" s="1"/>
      <c r="V62" s="1"/>
      <c r="W62" s="1"/>
      <c r="X62" s="1"/>
      <c r="Y62" s="1"/>
      <c r="Z62" s="1"/>
      <c r="AA62" s="1"/>
      <c r="AB62" s="1"/>
      <c r="AC62">
        <f t="shared" si="11"/>
        <v>207</v>
      </c>
      <c r="AD62">
        <f t="shared" si="12"/>
        <v>10</v>
      </c>
      <c r="AE62">
        <f t="shared" si="13"/>
        <v>2</v>
      </c>
      <c r="AF62">
        <f t="shared" si="9"/>
        <v>8</v>
      </c>
      <c r="AG62">
        <f t="shared" si="10"/>
        <v>25.875</v>
      </c>
    </row>
    <row r="63" spans="3:33">
      <c r="C63" t="s">
        <v>152</v>
      </c>
      <c r="D63" s="1">
        <v>20</v>
      </c>
      <c r="E63" s="1">
        <v>0</v>
      </c>
      <c r="F63" s="1">
        <v>0</v>
      </c>
      <c r="G63" s="1">
        <v>0</v>
      </c>
      <c r="H63" s="1">
        <v>28</v>
      </c>
      <c r="I63" s="1">
        <v>0</v>
      </c>
      <c r="J63" s="1">
        <v>0</v>
      </c>
      <c r="K63" s="1">
        <v>29</v>
      </c>
      <c r="L63" s="1">
        <v>0</v>
      </c>
      <c r="M63" s="1">
        <v>23</v>
      </c>
      <c r="N63" s="1">
        <v>18</v>
      </c>
      <c r="O63" s="1">
        <v>0</v>
      </c>
      <c r="P63" s="1">
        <v>24</v>
      </c>
      <c r="Q63" s="1">
        <v>20</v>
      </c>
      <c r="R63" s="1">
        <v>38</v>
      </c>
      <c r="S63" s="1"/>
      <c r="T63" s="1"/>
      <c r="U63" s="1"/>
      <c r="V63" s="1"/>
      <c r="W63" s="1"/>
      <c r="X63" s="1"/>
      <c r="Y63" s="1"/>
      <c r="Z63" s="1"/>
      <c r="AA63" s="1"/>
      <c r="AB63" s="1"/>
      <c r="AC63">
        <f t="shared" si="11"/>
        <v>200</v>
      </c>
      <c r="AD63">
        <f t="shared" si="12"/>
        <v>15</v>
      </c>
      <c r="AE63">
        <f t="shared" si="13"/>
        <v>7</v>
      </c>
      <c r="AF63">
        <f t="shared" si="9"/>
        <v>8</v>
      </c>
      <c r="AG63">
        <f t="shared" si="10"/>
        <v>25</v>
      </c>
    </row>
    <row r="64" spans="3:33">
      <c r="C64" t="s">
        <v>153</v>
      </c>
      <c r="D64" s="1">
        <v>19</v>
      </c>
      <c r="E64" s="1">
        <v>33</v>
      </c>
      <c r="F64" s="1">
        <v>0</v>
      </c>
      <c r="G64" s="1">
        <v>0</v>
      </c>
      <c r="H64" s="1">
        <v>27</v>
      </c>
      <c r="I64" s="1">
        <v>0</v>
      </c>
      <c r="J64" s="1">
        <v>0</v>
      </c>
      <c r="K64" s="1">
        <v>0</v>
      </c>
      <c r="L64" s="1">
        <v>29</v>
      </c>
      <c r="M64" s="1">
        <v>29</v>
      </c>
      <c r="N64" s="1">
        <v>0</v>
      </c>
      <c r="O64" s="1">
        <v>22</v>
      </c>
      <c r="P64" s="1">
        <v>20</v>
      </c>
      <c r="Q64" s="1">
        <v>23</v>
      </c>
      <c r="R64" s="1"/>
      <c r="S64" s="1"/>
      <c r="T64" s="1"/>
      <c r="U64" s="1"/>
      <c r="V64" s="1"/>
      <c r="W64" s="1"/>
      <c r="X64" s="1"/>
      <c r="Y64" s="1"/>
      <c r="Z64" s="1"/>
      <c r="AA64" s="1"/>
      <c r="AB64" s="1"/>
      <c r="AC64">
        <f t="shared" si="11"/>
        <v>202</v>
      </c>
      <c r="AD64">
        <f t="shared" si="12"/>
        <v>14</v>
      </c>
      <c r="AE64">
        <f t="shared" si="13"/>
        <v>6</v>
      </c>
      <c r="AF64">
        <f t="shared" si="9"/>
        <v>8</v>
      </c>
      <c r="AG64">
        <f t="shared" si="10"/>
        <v>25.25</v>
      </c>
    </row>
    <row r="65" spans="3:33">
      <c r="C65" t="s">
        <v>154</v>
      </c>
      <c r="D65" s="1">
        <v>30</v>
      </c>
      <c r="E65" s="1">
        <v>32</v>
      </c>
      <c r="F65" s="1">
        <v>20</v>
      </c>
      <c r="G65" s="1">
        <v>28</v>
      </c>
      <c r="H65" s="1">
        <v>25</v>
      </c>
      <c r="I65" s="1">
        <v>29</v>
      </c>
      <c r="J65" s="1">
        <v>18</v>
      </c>
      <c r="K65" s="1">
        <v>23</v>
      </c>
      <c r="L65" s="1"/>
      <c r="M65" s="1"/>
      <c r="N65" s="1"/>
      <c r="O65" s="1"/>
      <c r="P65" s="1"/>
      <c r="Q65" s="1"/>
      <c r="R65" s="1"/>
      <c r="S65" s="1"/>
      <c r="T65" s="1"/>
      <c r="U65" s="1"/>
      <c r="V65" s="1"/>
      <c r="W65" s="1"/>
      <c r="X65" s="1"/>
      <c r="Y65" s="1"/>
      <c r="Z65" s="1"/>
      <c r="AA65" s="1"/>
      <c r="AB65" s="1"/>
      <c r="AC65">
        <f t="shared" si="11"/>
        <v>205</v>
      </c>
      <c r="AD65">
        <f t="shared" si="12"/>
        <v>8</v>
      </c>
      <c r="AE65">
        <f t="shared" si="13"/>
        <v>0</v>
      </c>
      <c r="AF65">
        <f t="shared" si="9"/>
        <v>8</v>
      </c>
      <c r="AG65">
        <f t="shared" si="10"/>
        <v>25.625</v>
      </c>
    </row>
    <row r="66" spans="3:33">
      <c r="C66" t="s">
        <v>155</v>
      </c>
      <c r="D66" s="1">
        <v>45</v>
      </c>
      <c r="E66" s="1">
        <v>21</v>
      </c>
      <c r="F66" s="1">
        <v>8</v>
      </c>
      <c r="G66" s="1">
        <v>20</v>
      </c>
      <c r="H66" s="1">
        <v>0</v>
      </c>
      <c r="I66" s="1">
        <v>21</v>
      </c>
      <c r="J66" s="1">
        <v>23</v>
      </c>
      <c r="K66" s="1">
        <v>10</v>
      </c>
      <c r="L66" s="1">
        <v>18</v>
      </c>
      <c r="M66" s="1">
        <v>30</v>
      </c>
      <c r="N66" s="1">
        <v>48</v>
      </c>
      <c r="O66" s="1"/>
      <c r="P66" s="1"/>
      <c r="Q66" s="1"/>
      <c r="R66" s="1"/>
      <c r="S66" s="1"/>
      <c r="T66" s="1"/>
      <c r="U66" s="1"/>
      <c r="V66" s="1"/>
      <c r="W66" s="1"/>
      <c r="X66" s="1"/>
      <c r="Y66" s="1"/>
      <c r="Z66" s="1"/>
      <c r="AA66" s="1"/>
      <c r="AB66" s="1"/>
      <c r="AC66">
        <f t="shared" si="11"/>
        <v>244</v>
      </c>
      <c r="AD66">
        <f t="shared" si="12"/>
        <v>11</v>
      </c>
      <c r="AE66">
        <f t="shared" si="13"/>
        <v>1</v>
      </c>
      <c r="AF66">
        <f t="shared" si="9"/>
        <v>10</v>
      </c>
      <c r="AG66">
        <f t="shared" si="10"/>
        <v>24.4</v>
      </c>
    </row>
    <row r="67" spans="3:33">
      <c r="C67" t="s">
        <v>156</v>
      </c>
      <c r="D67" s="1">
        <v>19</v>
      </c>
      <c r="E67" s="1">
        <v>29</v>
      </c>
      <c r="F67" s="1">
        <v>32</v>
      </c>
      <c r="G67" s="1">
        <v>31</v>
      </c>
      <c r="H67" s="1">
        <v>28</v>
      </c>
      <c r="I67" s="1">
        <v>21</v>
      </c>
      <c r="J67" s="1">
        <v>21</v>
      </c>
      <c r="K67" s="1">
        <v>21</v>
      </c>
      <c r="L67" s="1"/>
      <c r="M67" s="1"/>
      <c r="N67" s="1"/>
      <c r="O67" s="1"/>
      <c r="P67" s="1"/>
      <c r="Q67" s="1"/>
      <c r="R67" s="1"/>
      <c r="S67" s="1"/>
      <c r="T67" s="1"/>
      <c r="U67" s="1"/>
      <c r="V67" s="1"/>
      <c r="W67" s="1"/>
      <c r="X67" s="1"/>
      <c r="Y67" s="1"/>
      <c r="Z67" s="1"/>
      <c r="AA67" s="1"/>
      <c r="AB67" s="1"/>
      <c r="AC67">
        <f t="shared" si="11"/>
        <v>202</v>
      </c>
      <c r="AD67">
        <f t="shared" si="12"/>
        <v>8</v>
      </c>
      <c r="AE67">
        <f t="shared" si="13"/>
        <v>0</v>
      </c>
      <c r="AF67">
        <f t="shared" si="9"/>
        <v>8</v>
      </c>
      <c r="AG67">
        <f t="shared" si="10"/>
        <v>25.25</v>
      </c>
    </row>
    <row r="68" spans="3:33">
      <c r="C68" t="s">
        <v>157</v>
      </c>
      <c r="D68" s="1">
        <v>26</v>
      </c>
      <c r="E68" s="1">
        <v>0</v>
      </c>
      <c r="F68" s="1">
        <v>34</v>
      </c>
      <c r="G68" s="1">
        <v>20</v>
      </c>
      <c r="H68" s="1">
        <v>26</v>
      </c>
      <c r="I68" s="1">
        <v>30</v>
      </c>
      <c r="J68" s="1">
        <v>41</v>
      </c>
      <c r="K68" s="1">
        <v>0</v>
      </c>
      <c r="L68" s="1">
        <v>32</v>
      </c>
      <c r="M68" s="1"/>
      <c r="N68" s="1"/>
      <c r="O68" s="1"/>
      <c r="P68" s="1"/>
      <c r="Q68" s="1"/>
      <c r="R68" s="1"/>
      <c r="S68" s="1"/>
      <c r="T68" s="1"/>
      <c r="U68" s="1"/>
      <c r="V68" s="1"/>
      <c r="W68" s="1"/>
      <c r="X68" s="1"/>
      <c r="Y68" s="1"/>
      <c r="Z68" s="1"/>
      <c r="AA68" s="1"/>
      <c r="AB68" s="1"/>
      <c r="AC68">
        <f t="shared" si="11"/>
        <v>209</v>
      </c>
      <c r="AD68">
        <f t="shared" si="12"/>
        <v>9</v>
      </c>
      <c r="AE68">
        <f t="shared" si="13"/>
        <v>2</v>
      </c>
      <c r="AF68">
        <f t="shared" si="9"/>
        <v>7</v>
      </c>
      <c r="AG68">
        <f t="shared" si="10"/>
        <v>29.857142857142858</v>
      </c>
    </row>
    <row r="69" spans="3:33">
      <c r="C69" t="s">
        <v>158</v>
      </c>
      <c r="D69" s="1">
        <v>22</v>
      </c>
      <c r="E69" s="1">
        <v>30</v>
      </c>
      <c r="F69" s="1">
        <v>0</v>
      </c>
      <c r="G69" s="1">
        <v>19</v>
      </c>
      <c r="H69" s="1">
        <v>0</v>
      </c>
      <c r="I69" s="1">
        <v>0</v>
      </c>
      <c r="J69" s="1">
        <v>30</v>
      </c>
      <c r="K69" s="1">
        <v>25</v>
      </c>
      <c r="L69" s="1">
        <v>0</v>
      </c>
      <c r="M69" s="1">
        <v>0</v>
      </c>
      <c r="N69" s="1">
        <v>30</v>
      </c>
      <c r="O69" s="1">
        <v>12</v>
      </c>
      <c r="P69" s="1">
        <v>36</v>
      </c>
      <c r="Q69" s="1"/>
      <c r="R69" s="1"/>
      <c r="S69" s="1"/>
      <c r="T69" s="1"/>
      <c r="U69" s="1"/>
      <c r="V69" s="1"/>
      <c r="W69" s="1"/>
      <c r="X69" s="1"/>
      <c r="Y69" s="1"/>
      <c r="Z69" s="1"/>
      <c r="AA69" s="1"/>
      <c r="AB69" s="1"/>
      <c r="AC69">
        <f t="shared" si="11"/>
        <v>204</v>
      </c>
      <c r="AD69">
        <f t="shared" si="12"/>
        <v>13</v>
      </c>
      <c r="AE69">
        <f t="shared" si="13"/>
        <v>5</v>
      </c>
      <c r="AF69">
        <f t="shared" si="9"/>
        <v>8</v>
      </c>
      <c r="AG69">
        <f t="shared" si="10"/>
        <v>25.5</v>
      </c>
    </row>
    <row r="70" spans="3:33">
      <c r="C70" t="s">
        <v>159</v>
      </c>
      <c r="D70" s="1">
        <v>12</v>
      </c>
      <c r="E70" s="1">
        <v>0</v>
      </c>
      <c r="F70" s="1">
        <v>12</v>
      </c>
      <c r="G70" s="1">
        <v>23</v>
      </c>
      <c r="H70" s="1">
        <v>24</v>
      </c>
      <c r="I70" s="1">
        <v>20</v>
      </c>
      <c r="J70" s="1">
        <v>28</v>
      </c>
      <c r="K70" s="1">
        <v>22</v>
      </c>
      <c r="L70" s="1">
        <v>25</v>
      </c>
      <c r="M70" s="1">
        <v>21</v>
      </c>
      <c r="N70" s="1">
        <v>24</v>
      </c>
      <c r="O70" s="1"/>
      <c r="P70" s="1"/>
      <c r="Q70" s="1"/>
      <c r="R70" s="1"/>
      <c r="S70" s="1"/>
      <c r="T70" s="1"/>
      <c r="U70" s="1"/>
      <c r="V70" s="1"/>
      <c r="W70" s="1"/>
      <c r="X70" s="1"/>
      <c r="Y70" s="1"/>
      <c r="Z70" s="1"/>
      <c r="AA70" s="1"/>
      <c r="AB70" s="1"/>
      <c r="AC70">
        <f t="shared" si="11"/>
        <v>211</v>
      </c>
      <c r="AD70">
        <f t="shared" si="12"/>
        <v>11</v>
      </c>
      <c r="AE70">
        <f t="shared" si="13"/>
        <v>1</v>
      </c>
      <c r="AF70">
        <f t="shared" si="9"/>
        <v>10</v>
      </c>
      <c r="AG70">
        <f t="shared" si="10"/>
        <v>21.1</v>
      </c>
    </row>
    <row r="71" spans="3:33">
      <c r="C71" t="s">
        <v>160</v>
      </c>
      <c r="D71" s="1">
        <v>24</v>
      </c>
      <c r="E71" s="1">
        <v>24</v>
      </c>
      <c r="F71" s="1">
        <v>27</v>
      </c>
      <c r="G71" s="1">
        <v>25</v>
      </c>
      <c r="H71" s="1">
        <v>0</v>
      </c>
      <c r="I71" s="1">
        <v>0</v>
      </c>
      <c r="J71" s="1">
        <v>20</v>
      </c>
      <c r="K71" s="1">
        <v>31</v>
      </c>
      <c r="L71" s="1">
        <v>23</v>
      </c>
      <c r="M71" s="1">
        <v>0</v>
      </c>
      <c r="N71" s="1">
        <v>33</v>
      </c>
      <c r="O71" s="1"/>
      <c r="P71" s="1"/>
      <c r="Q71" s="1"/>
      <c r="R71" s="1"/>
      <c r="S71" s="1"/>
      <c r="T71" s="1"/>
      <c r="U71" s="1"/>
      <c r="V71" s="1"/>
      <c r="W71" s="1"/>
      <c r="X71" s="1"/>
      <c r="Y71" s="1"/>
      <c r="Z71" s="1"/>
      <c r="AA71" s="1"/>
      <c r="AB71" s="1"/>
      <c r="AC71">
        <f t="shared" si="11"/>
        <v>207</v>
      </c>
      <c r="AD71">
        <f t="shared" si="12"/>
        <v>11</v>
      </c>
      <c r="AE71">
        <f t="shared" si="13"/>
        <v>3</v>
      </c>
      <c r="AF71">
        <f t="shared" si="9"/>
        <v>8</v>
      </c>
      <c r="AG71">
        <f t="shared" si="10"/>
        <v>25.875</v>
      </c>
    </row>
    <row r="72" spans="3:33">
      <c r="C72" t="s">
        <v>161</v>
      </c>
      <c r="D72" s="1">
        <v>0</v>
      </c>
      <c r="E72" s="1">
        <v>26</v>
      </c>
      <c r="F72" s="1">
        <v>22</v>
      </c>
      <c r="G72" s="1">
        <v>0</v>
      </c>
      <c r="H72" s="1">
        <v>0</v>
      </c>
      <c r="I72" s="1">
        <v>0</v>
      </c>
      <c r="J72" s="1">
        <v>0</v>
      </c>
      <c r="K72" s="1">
        <v>36</v>
      </c>
      <c r="L72" s="1">
        <v>0</v>
      </c>
      <c r="M72" s="1">
        <v>0</v>
      </c>
      <c r="N72" s="1">
        <v>8</v>
      </c>
      <c r="O72" s="1">
        <v>0</v>
      </c>
      <c r="P72" s="1">
        <v>8</v>
      </c>
      <c r="Q72" s="1">
        <v>28</v>
      </c>
      <c r="R72" s="1">
        <v>31</v>
      </c>
      <c r="S72" s="1">
        <v>29</v>
      </c>
      <c r="T72" s="1">
        <v>25</v>
      </c>
      <c r="U72" s="1"/>
      <c r="V72" s="1"/>
      <c r="W72" s="1"/>
      <c r="X72" s="1"/>
      <c r="Y72" s="1"/>
      <c r="Z72" s="1"/>
      <c r="AA72" s="1"/>
      <c r="AB72" s="1"/>
      <c r="AC72">
        <f t="shared" si="11"/>
        <v>213</v>
      </c>
      <c r="AD72">
        <f t="shared" si="12"/>
        <v>17</v>
      </c>
      <c r="AE72">
        <f t="shared" si="13"/>
        <v>8</v>
      </c>
      <c r="AF72">
        <f t="shared" si="9"/>
        <v>9</v>
      </c>
      <c r="AG72">
        <f t="shared" si="10"/>
        <v>23.666666666666668</v>
      </c>
    </row>
    <row r="73" spans="3:33">
      <c r="C73" t="s">
        <v>162</v>
      </c>
      <c r="D73" s="1">
        <v>26</v>
      </c>
      <c r="E73" s="1">
        <v>23</v>
      </c>
      <c r="F73" s="1">
        <v>30</v>
      </c>
      <c r="G73" s="1">
        <v>25</v>
      </c>
      <c r="H73" s="1">
        <v>37</v>
      </c>
      <c r="I73" s="1">
        <v>23</v>
      </c>
      <c r="J73" s="1">
        <v>19</v>
      </c>
      <c r="K73" s="1">
        <v>26</v>
      </c>
      <c r="L73" s="1"/>
      <c r="M73" s="1"/>
      <c r="N73" s="1"/>
      <c r="O73" s="1"/>
      <c r="P73" s="1"/>
      <c r="Q73" s="1"/>
      <c r="R73" s="1"/>
      <c r="S73" s="1"/>
      <c r="T73" s="1"/>
      <c r="U73" s="1"/>
      <c r="V73" s="1"/>
      <c r="W73" s="1"/>
      <c r="X73" s="1"/>
      <c r="Y73" s="1"/>
      <c r="Z73" s="1"/>
      <c r="AA73" s="1"/>
      <c r="AB73" s="1"/>
      <c r="AC73">
        <f t="shared" si="11"/>
        <v>209</v>
      </c>
      <c r="AD73">
        <f t="shared" si="12"/>
        <v>8</v>
      </c>
      <c r="AE73">
        <f t="shared" si="13"/>
        <v>0</v>
      </c>
      <c r="AF73">
        <f t="shared" si="9"/>
        <v>8</v>
      </c>
      <c r="AG73">
        <f t="shared" si="10"/>
        <v>26.125</v>
      </c>
    </row>
    <row r="74" spans="3:33">
      <c r="C74" t="s">
        <v>163</v>
      </c>
      <c r="D74" s="1">
        <v>22</v>
      </c>
      <c r="E74" s="1">
        <v>24</v>
      </c>
      <c r="F74" s="1">
        <v>18</v>
      </c>
      <c r="G74" s="1">
        <v>33</v>
      </c>
      <c r="H74" s="1">
        <v>35</v>
      </c>
      <c r="I74" s="1">
        <v>30</v>
      </c>
      <c r="J74" s="1">
        <v>0</v>
      </c>
      <c r="K74" s="1">
        <v>16</v>
      </c>
      <c r="L74" s="1">
        <v>32</v>
      </c>
      <c r="M74" s="1"/>
      <c r="N74" s="1"/>
      <c r="O74" s="1"/>
      <c r="P74" s="1"/>
      <c r="Q74" s="1"/>
      <c r="R74" s="1"/>
      <c r="S74" s="1"/>
      <c r="T74" s="1"/>
      <c r="U74" s="1"/>
      <c r="V74" s="1"/>
      <c r="W74" s="1"/>
      <c r="X74" s="1"/>
      <c r="Y74" s="1"/>
      <c r="Z74" s="1"/>
      <c r="AA74" s="1"/>
      <c r="AB74" s="1"/>
      <c r="AC74">
        <f t="shared" si="11"/>
        <v>210</v>
      </c>
      <c r="AD74">
        <f t="shared" si="12"/>
        <v>9</v>
      </c>
      <c r="AE74">
        <f t="shared" si="13"/>
        <v>1</v>
      </c>
      <c r="AF74">
        <f t="shared" si="9"/>
        <v>8</v>
      </c>
      <c r="AG74">
        <f t="shared" si="10"/>
        <v>26.25</v>
      </c>
    </row>
    <row r="75" spans="3:33">
      <c r="C75" t="s">
        <v>164</v>
      </c>
      <c r="D75" s="1">
        <v>0</v>
      </c>
      <c r="E75" s="1">
        <v>22</v>
      </c>
      <c r="F75" s="1">
        <v>0</v>
      </c>
      <c r="G75" s="1">
        <v>0</v>
      </c>
      <c r="H75" s="1">
        <v>34</v>
      </c>
      <c r="I75" s="1">
        <v>29</v>
      </c>
      <c r="J75" s="1">
        <v>8</v>
      </c>
      <c r="K75" s="1">
        <v>33</v>
      </c>
      <c r="L75" s="1">
        <v>51</v>
      </c>
      <c r="M75" s="1">
        <v>15</v>
      </c>
      <c r="N75" s="1">
        <v>21</v>
      </c>
      <c r="O75" s="1"/>
      <c r="P75" s="1"/>
      <c r="Q75" s="1"/>
      <c r="R75" s="1"/>
      <c r="S75" s="1"/>
      <c r="T75" s="1"/>
      <c r="U75" s="1"/>
      <c r="V75" s="1"/>
      <c r="W75" s="1"/>
      <c r="X75" s="1"/>
      <c r="Y75" s="1"/>
      <c r="Z75" s="1"/>
      <c r="AA75" s="1"/>
      <c r="AB75" s="1"/>
      <c r="AC75">
        <f t="shared" si="11"/>
        <v>213</v>
      </c>
      <c r="AD75">
        <f t="shared" si="12"/>
        <v>11</v>
      </c>
      <c r="AE75">
        <f t="shared" si="13"/>
        <v>3</v>
      </c>
      <c r="AF75">
        <f t="shared" si="9"/>
        <v>8</v>
      </c>
      <c r="AG75">
        <f t="shared" si="10"/>
        <v>26.625</v>
      </c>
    </row>
    <row r="76" spans="3:33">
      <c r="C76" t="s">
        <v>165</v>
      </c>
      <c r="D76" s="1">
        <v>0</v>
      </c>
      <c r="E76" s="1">
        <v>21</v>
      </c>
      <c r="F76" s="1">
        <v>23</v>
      </c>
      <c r="G76" s="1">
        <v>25</v>
      </c>
      <c r="H76" s="1">
        <v>23</v>
      </c>
      <c r="I76" s="1">
        <v>21</v>
      </c>
      <c r="J76" s="1">
        <v>28</v>
      </c>
      <c r="K76" s="1">
        <v>24</v>
      </c>
      <c r="L76" s="1">
        <v>0</v>
      </c>
      <c r="M76" s="1">
        <v>21</v>
      </c>
      <c r="N76" s="1">
        <v>23</v>
      </c>
      <c r="O76" s="1"/>
      <c r="P76" s="1"/>
      <c r="Q76" s="1"/>
      <c r="R76" s="1"/>
      <c r="S76" s="1"/>
      <c r="T76" s="1"/>
      <c r="U76" s="1"/>
      <c r="V76" s="1"/>
      <c r="W76" s="1"/>
      <c r="X76" s="1"/>
      <c r="Y76" s="1"/>
      <c r="Z76" s="1"/>
      <c r="AA76" s="1"/>
      <c r="AB76" s="1"/>
      <c r="AC76">
        <f t="shared" si="11"/>
        <v>209</v>
      </c>
      <c r="AD76">
        <f t="shared" si="12"/>
        <v>11</v>
      </c>
      <c r="AE76">
        <f t="shared" si="13"/>
        <v>2</v>
      </c>
      <c r="AF76">
        <f t="shared" si="9"/>
        <v>9</v>
      </c>
      <c r="AG76">
        <f t="shared" si="10"/>
        <v>23.222222222222221</v>
      </c>
    </row>
    <row r="77" spans="3:33">
      <c r="C77" t="s">
        <v>166</v>
      </c>
      <c r="D77" s="1">
        <v>28</v>
      </c>
      <c r="E77" s="1">
        <v>0</v>
      </c>
      <c r="F77" s="1">
        <v>22</v>
      </c>
      <c r="G77" s="1">
        <v>26</v>
      </c>
      <c r="H77" s="1">
        <v>32</v>
      </c>
      <c r="I77" s="1">
        <v>0</v>
      </c>
      <c r="J77" s="1">
        <v>24</v>
      </c>
      <c r="K77" s="1">
        <v>0</v>
      </c>
      <c r="L77" s="1">
        <v>22</v>
      </c>
      <c r="M77" s="1">
        <v>0</v>
      </c>
      <c r="N77" s="1">
        <v>27</v>
      </c>
      <c r="O77" s="1">
        <v>36</v>
      </c>
      <c r="P77" s="1"/>
      <c r="Q77" s="1"/>
      <c r="R77" s="1"/>
      <c r="S77" s="1"/>
      <c r="T77" s="1"/>
      <c r="U77" s="1"/>
      <c r="V77" s="1"/>
      <c r="W77" s="1"/>
      <c r="X77" s="1"/>
      <c r="Y77" s="1"/>
      <c r="Z77" s="1"/>
      <c r="AA77" s="1"/>
      <c r="AB77" s="1"/>
      <c r="AC77">
        <f t="shared" si="11"/>
        <v>217</v>
      </c>
      <c r="AD77">
        <f t="shared" si="12"/>
        <v>12</v>
      </c>
      <c r="AE77">
        <f t="shared" si="13"/>
        <v>4</v>
      </c>
      <c r="AF77">
        <f t="shared" si="9"/>
        <v>8</v>
      </c>
      <c r="AG77">
        <f t="shared" si="10"/>
        <v>27.125</v>
      </c>
    </row>
    <row r="78" spans="3:33">
      <c r="C78" t="s">
        <v>167</v>
      </c>
      <c r="D78" s="1">
        <v>28</v>
      </c>
      <c r="E78" s="1">
        <v>22</v>
      </c>
      <c r="F78" s="1">
        <v>19</v>
      </c>
      <c r="G78" s="1">
        <v>23</v>
      </c>
      <c r="H78" s="1">
        <v>48</v>
      </c>
      <c r="I78" s="1">
        <v>27</v>
      </c>
      <c r="J78" s="1">
        <v>0</v>
      </c>
      <c r="K78" s="1">
        <v>0</v>
      </c>
      <c r="L78" s="1">
        <v>17</v>
      </c>
      <c r="M78" s="1">
        <v>27</v>
      </c>
      <c r="N78" s="1"/>
      <c r="O78" s="1"/>
      <c r="P78" s="1"/>
      <c r="Q78" s="1"/>
      <c r="R78" s="1"/>
      <c r="S78" s="1"/>
      <c r="T78" s="1"/>
      <c r="U78" s="1"/>
      <c r="V78" s="1"/>
      <c r="W78" s="1"/>
      <c r="X78" s="1"/>
      <c r="Y78" s="1"/>
      <c r="Z78" s="1"/>
      <c r="AA78" s="1"/>
      <c r="AB78" s="1"/>
      <c r="AC78">
        <f t="shared" si="11"/>
        <v>211</v>
      </c>
      <c r="AD78">
        <f t="shared" si="12"/>
        <v>10</v>
      </c>
      <c r="AE78">
        <f t="shared" si="13"/>
        <v>2</v>
      </c>
      <c r="AF78">
        <f t="shared" si="9"/>
        <v>8</v>
      </c>
      <c r="AG78">
        <f t="shared" si="10"/>
        <v>26.375</v>
      </c>
    </row>
    <row r="79" spans="3:33">
      <c r="C79" t="s">
        <v>168</v>
      </c>
      <c r="D79" s="1">
        <v>22</v>
      </c>
      <c r="E79" s="1">
        <v>23</v>
      </c>
      <c r="F79" s="1">
        <v>27</v>
      </c>
      <c r="G79" s="1">
        <v>33</v>
      </c>
      <c r="H79" s="1">
        <v>31</v>
      </c>
      <c r="I79" s="1">
        <v>25</v>
      </c>
      <c r="J79" s="1">
        <v>30</v>
      </c>
      <c r="K79" s="1">
        <v>19</v>
      </c>
      <c r="L79" s="1"/>
      <c r="M79" s="1"/>
      <c r="N79" s="1"/>
      <c r="O79" s="1"/>
      <c r="P79" s="1"/>
      <c r="Q79" s="1"/>
      <c r="R79" s="1"/>
      <c r="S79" s="1"/>
      <c r="T79" s="1"/>
      <c r="U79" s="1"/>
      <c r="V79" s="1"/>
      <c r="W79" s="1"/>
      <c r="X79" s="1"/>
      <c r="Y79" s="1"/>
      <c r="Z79" s="1"/>
      <c r="AA79" s="1"/>
      <c r="AB79" s="1"/>
      <c r="AC79">
        <f t="shared" si="11"/>
        <v>210</v>
      </c>
      <c r="AD79">
        <f t="shared" si="12"/>
        <v>8</v>
      </c>
      <c r="AE79">
        <f t="shared" si="13"/>
        <v>0</v>
      </c>
      <c r="AF79">
        <f t="shared" si="9"/>
        <v>8</v>
      </c>
      <c r="AG79">
        <f t="shared" si="10"/>
        <v>26.25</v>
      </c>
    </row>
    <row r="80" spans="3:33">
      <c r="C80" t="s">
        <v>169</v>
      </c>
      <c r="D80" s="1">
        <v>26</v>
      </c>
      <c r="E80" s="1">
        <v>23</v>
      </c>
      <c r="F80" s="1">
        <v>34</v>
      </c>
      <c r="G80" s="1">
        <v>0</v>
      </c>
      <c r="H80" s="1">
        <v>16</v>
      </c>
      <c r="I80" s="1">
        <v>36</v>
      </c>
      <c r="J80" s="1">
        <v>33</v>
      </c>
      <c r="K80" s="1">
        <v>27</v>
      </c>
      <c r="L80" s="1">
        <v>0</v>
      </c>
      <c r="M80" s="1">
        <v>0</v>
      </c>
      <c r="N80" s="1">
        <v>30</v>
      </c>
      <c r="O80" s="1"/>
      <c r="P80" s="1"/>
      <c r="Q80" s="1"/>
      <c r="R80" s="1"/>
      <c r="S80" s="1"/>
      <c r="T80" s="1"/>
      <c r="U80" s="1"/>
      <c r="V80" s="1"/>
      <c r="W80" s="1"/>
      <c r="X80" s="1"/>
      <c r="Y80" s="1"/>
      <c r="Z80" s="1"/>
      <c r="AA80" s="1"/>
      <c r="AB80" s="1"/>
      <c r="AC80">
        <f t="shared" ref="AC80:AC111" si="14">SUM(D80:AB80)</f>
        <v>225</v>
      </c>
      <c r="AD80">
        <f t="shared" ref="AD80:AD115" si="15">COUNT(D80:AB80)</f>
        <v>11</v>
      </c>
      <c r="AE80">
        <f t="shared" ref="AE80:AE115" si="16">COUNTIF(D80:AB80,0)</f>
        <v>3</v>
      </c>
      <c r="AF80">
        <f t="shared" ref="AF80:AF115" si="17">AD80-AE80</f>
        <v>8</v>
      </c>
      <c r="AG80">
        <f t="shared" ref="AG80:AG115" si="18">AC80/AF80</f>
        <v>28.125</v>
      </c>
    </row>
    <row r="81" spans="3:33">
      <c r="C81" t="s">
        <v>170</v>
      </c>
      <c r="D81" s="1">
        <v>32</v>
      </c>
      <c r="E81" s="1">
        <v>0</v>
      </c>
      <c r="F81" s="1">
        <v>40</v>
      </c>
      <c r="G81" s="1">
        <v>19</v>
      </c>
      <c r="H81" s="1">
        <v>20</v>
      </c>
      <c r="I81" s="1">
        <v>0</v>
      </c>
      <c r="J81" s="1">
        <v>30</v>
      </c>
      <c r="K81" s="1">
        <v>26</v>
      </c>
      <c r="L81" s="1">
        <v>15</v>
      </c>
      <c r="M81" s="1">
        <v>7</v>
      </c>
      <c r="N81" s="1">
        <v>43</v>
      </c>
      <c r="O81" s="1"/>
      <c r="P81" s="1"/>
      <c r="Q81" s="1"/>
      <c r="R81" s="1"/>
      <c r="S81" s="1"/>
      <c r="T81" s="1"/>
      <c r="U81" s="1"/>
      <c r="V81" s="1"/>
      <c r="W81" s="1"/>
      <c r="X81" s="1"/>
      <c r="Y81" s="1"/>
      <c r="Z81" s="1"/>
      <c r="AA81" s="1"/>
      <c r="AB81" s="1"/>
      <c r="AC81">
        <f t="shared" si="14"/>
        <v>232</v>
      </c>
      <c r="AD81">
        <f t="shared" si="15"/>
        <v>11</v>
      </c>
      <c r="AE81">
        <f t="shared" si="16"/>
        <v>2</v>
      </c>
      <c r="AF81">
        <f t="shared" si="17"/>
        <v>9</v>
      </c>
      <c r="AG81">
        <f t="shared" si="18"/>
        <v>25.777777777777779</v>
      </c>
    </row>
    <row r="82" spans="3:33">
      <c r="C82" t="s">
        <v>171</v>
      </c>
      <c r="D82" s="1">
        <v>23</v>
      </c>
      <c r="E82" s="1">
        <v>0</v>
      </c>
      <c r="F82" s="1">
        <v>21</v>
      </c>
      <c r="G82" s="1">
        <v>28</v>
      </c>
      <c r="H82" s="1">
        <v>24</v>
      </c>
      <c r="I82" s="1">
        <v>33</v>
      </c>
      <c r="J82" s="1">
        <v>30</v>
      </c>
      <c r="K82" s="1">
        <v>28</v>
      </c>
      <c r="L82" s="1">
        <v>0</v>
      </c>
      <c r="M82" s="1">
        <v>19</v>
      </c>
      <c r="N82" s="1"/>
      <c r="O82" s="1"/>
      <c r="P82" s="1"/>
      <c r="Q82" s="1"/>
      <c r="R82" s="1"/>
      <c r="S82" s="1"/>
      <c r="T82" s="1"/>
      <c r="U82" s="1"/>
      <c r="V82" s="1"/>
      <c r="W82" s="1"/>
      <c r="X82" s="1"/>
      <c r="Y82" s="1"/>
      <c r="Z82" s="1"/>
      <c r="AA82" s="1"/>
      <c r="AB82" s="1"/>
      <c r="AC82">
        <f t="shared" si="14"/>
        <v>206</v>
      </c>
      <c r="AD82">
        <f t="shared" si="15"/>
        <v>10</v>
      </c>
      <c r="AE82">
        <f t="shared" si="16"/>
        <v>2</v>
      </c>
      <c r="AF82">
        <f t="shared" si="17"/>
        <v>8</v>
      </c>
      <c r="AG82">
        <f t="shared" si="18"/>
        <v>25.75</v>
      </c>
    </row>
    <row r="83" spans="3:33">
      <c r="C83" t="s">
        <v>172</v>
      </c>
      <c r="D83" s="1">
        <v>24</v>
      </c>
      <c r="E83" s="1">
        <v>23</v>
      </c>
      <c r="F83" s="1">
        <v>21</v>
      </c>
      <c r="G83" s="1">
        <v>0</v>
      </c>
      <c r="H83" s="1">
        <v>28</v>
      </c>
      <c r="I83" s="1">
        <v>33</v>
      </c>
      <c r="J83" s="1">
        <v>0</v>
      </c>
      <c r="K83" s="1">
        <v>25</v>
      </c>
      <c r="L83" s="1">
        <v>0</v>
      </c>
      <c r="M83" s="1">
        <v>35</v>
      </c>
      <c r="N83" s="1">
        <v>26</v>
      </c>
      <c r="O83" s="1"/>
      <c r="P83" s="1"/>
      <c r="Q83" s="1"/>
      <c r="R83" s="1"/>
      <c r="S83" s="1"/>
      <c r="T83" s="1"/>
      <c r="U83" s="1"/>
      <c r="V83" s="1"/>
      <c r="W83" s="1"/>
      <c r="X83" s="1"/>
      <c r="Y83" s="1"/>
      <c r="Z83" s="1"/>
      <c r="AA83" s="1"/>
      <c r="AB83" s="1"/>
      <c r="AC83">
        <f t="shared" si="14"/>
        <v>215</v>
      </c>
      <c r="AD83">
        <f t="shared" si="15"/>
        <v>11</v>
      </c>
      <c r="AE83">
        <f t="shared" si="16"/>
        <v>3</v>
      </c>
      <c r="AF83">
        <f t="shared" si="17"/>
        <v>8</v>
      </c>
      <c r="AG83">
        <f t="shared" si="18"/>
        <v>26.875</v>
      </c>
    </row>
    <row r="84" spans="3:33">
      <c r="C84" t="s">
        <v>173</v>
      </c>
      <c r="D84" s="1">
        <v>24</v>
      </c>
      <c r="E84" s="1">
        <v>0</v>
      </c>
      <c r="F84" s="1">
        <v>41</v>
      </c>
      <c r="G84" s="1">
        <v>19</v>
      </c>
      <c r="H84" s="1">
        <v>17</v>
      </c>
      <c r="I84" s="1">
        <v>0</v>
      </c>
      <c r="J84" s="1">
        <v>0</v>
      </c>
      <c r="K84" s="1">
        <v>24</v>
      </c>
      <c r="L84" s="1">
        <v>20</v>
      </c>
      <c r="M84" s="1">
        <v>0</v>
      </c>
      <c r="N84" s="1">
        <v>30</v>
      </c>
      <c r="O84" s="1">
        <v>0</v>
      </c>
      <c r="P84" s="1">
        <v>31</v>
      </c>
      <c r="Q84" s="1"/>
      <c r="R84" s="1"/>
      <c r="S84" s="1"/>
      <c r="T84" s="1"/>
      <c r="U84" s="1"/>
      <c r="V84" s="1"/>
      <c r="W84" s="1"/>
      <c r="X84" s="1"/>
      <c r="Y84" s="1"/>
      <c r="Z84" s="1"/>
      <c r="AA84" s="1"/>
      <c r="AB84" s="1"/>
      <c r="AC84">
        <f t="shared" si="14"/>
        <v>206</v>
      </c>
      <c r="AD84">
        <f t="shared" si="15"/>
        <v>13</v>
      </c>
      <c r="AE84">
        <f t="shared" si="16"/>
        <v>5</v>
      </c>
      <c r="AF84">
        <f t="shared" si="17"/>
        <v>8</v>
      </c>
      <c r="AG84">
        <f t="shared" si="18"/>
        <v>25.75</v>
      </c>
    </row>
    <row r="85" spans="3:33">
      <c r="C85" t="s">
        <v>174</v>
      </c>
      <c r="D85" s="1">
        <v>43</v>
      </c>
      <c r="E85" s="1">
        <v>22</v>
      </c>
      <c r="F85" s="1">
        <v>0</v>
      </c>
      <c r="G85" s="1">
        <v>24</v>
      </c>
      <c r="H85" s="1">
        <v>28</v>
      </c>
      <c r="I85" s="1">
        <v>19</v>
      </c>
      <c r="J85" s="1">
        <v>0</v>
      </c>
      <c r="K85" s="1">
        <v>0</v>
      </c>
      <c r="L85" s="1">
        <v>18</v>
      </c>
      <c r="M85" s="1">
        <v>0</v>
      </c>
      <c r="N85" s="1">
        <v>0</v>
      </c>
      <c r="O85" s="1">
        <v>23</v>
      </c>
      <c r="P85" s="1">
        <v>0</v>
      </c>
      <c r="Q85" s="1">
        <v>31</v>
      </c>
      <c r="R85" s="1"/>
      <c r="S85" s="1"/>
      <c r="T85" s="1"/>
      <c r="U85" s="1"/>
      <c r="V85" s="1"/>
      <c r="W85" s="1"/>
      <c r="X85" s="1"/>
      <c r="Y85" s="1"/>
      <c r="Z85" s="1"/>
      <c r="AA85" s="1"/>
      <c r="AB85" s="1"/>
      <c r="AC85">
        <f t="shared" si="14"/>
        <v>208</v>
      </c>
      <c r="AD85">
        <f t="shared" si="15"/>
        <v>14</v>
      </c>
      <c r="AE85">
        <f t="shared" si="16"/>
        <v>6</v>
      </c>
      <c r="AF85">
        <f t="shared" si="17"/>
        <v>8</v>
      </c>
      <c r="AG85">
        <f t="shared" si="18"/>
        <v>26</v>
      </c>
    </row>
    <row r="86" spans="3:33">
      <c r="C86" t="s">
        <v>175</v>
      </c>
      <c r="D86" s="1">
        <v>27</v>
      </c>
      <c r="E86" s="1">
        <v>20</v>
      </c>
      <c r="F86" s="1">
        <v>19</v>
      </c>
      <c r="G86" s="1">
        <v>29</v>
      </c>
      <c r="H86" s="1">
        <v>0</v>
      </c>
      <c r="I86" s="1">
        <v>25</v>
      </c>
      <c r="J86" s="1">
        <v>22</v>
      </c>
      <c r="K86" s="1">
        <v>22</v>
      </c>
      <c r="L86" s="1">
        <v>14</v>
      </c>
      <c r="M86" s="1">
        <v>39</v>
      </c>
      <c r="N86" s="1"/>
      <c r="O86" s="1"/>
      <c r="P86" s="1"/>
      <c r="Q86" s="1"/>
      <c r="R86" s="1"/>
      <c r="S86" s="1"/>
      <c r="T86" s="1"/>
      <c r="U86" s="1"/>
      <c r="V86" s="1"/>
      <c r="W86" s="1"/>
      <c r="X86" s="1"/>
      <c r="Y86" s="1"/>
      <c r="Z86" s="1"/>
      <c r="AA86" s="1"/>
      <c r="AB86" s="1"/>
      <c r="AC86">
        <f t="shared" si="14"/>
        <v>217</v>
      </c>
      <c r="AD86">
        <f t="shared" si="15"/>
        <v>10</v>
      </c>
      <c r="AE86">
        <f t="shared" si="16"/>
        <v>1</v>
      </c>
      <c r="AF86">
        <f t="shared" si="17"/>
        <v>9</v>
      </c>
      <c r="AG86">
        <f t="shared" si="18"/>
        <v>24.111111111111111</v>
      </c>
    </row>
    <row r="87" spans="3:33">
      <c r="C87" t="s">
        <v>176</v>
      </c>
      <c r="D87" s="1">
        <v>42</v>
      </c>
      <c r="E87" s="1">
        <v>27</v>
      </c>
      <c r="F87" s="1">
        <v>0</v>
      </c>
      <c r="G87" s="1">
        <v>0</v>
      </c>
      <c r="H87" s="1">
        <v>26</v>
      </c>
      <c r="I87" s="1">
        <v>35</v>
      </c>
      <c r="J87" s="1">
        <v>26</v>
      </c>
      <c r="K87" s="1">
        <v>23</v>
      </c>
      <c r="L87" s="1">
        <v>0</v>
      </c>
      <c r="M87" s="1">
        <v>32</v>
      </c>
      <c r="N87" s="1"/>
      <c r="O87" s="1"/>
      <c r="P87" s="1"/>
      <c r="Q87" s="1"/>
      <c r="R87" s="1"/>
      <c r="S87" s="1"/>
      <c r="T87" s="1"/>
      <c r="U87" s="1"/>
      <c r="V87" s="1"/>
      <c r="W87" s="1"/>
      <c r="X87" s="1"/>
      <c r="Y87" s="1"/>
      <c r="Z87" s="1"/>
      <c r="AA87" s="1"/>
      <c r="AB87" s="1"/>
      <c r="AC87">
        <f t="shared" si="14"/>
        <v>211</v>
      </c>
      <c r="AD87">
        <f t="shared" si="15"/>
        <v>10</v>
      </c>
      <c r="AE87">
        <f t="shared" si="16"/>
        <v>3</v>
      </c>
      <c r="AF87">
        <f t="shared" si="17"/>
        <v>7</v>
      </c>
      <c r="AG87">
        <f t="shared" si="18"/>
        <v>30.142857142857142</v>
      </c>
    </row>
    <row r="88" spans="3:33">
      <c r="C88" t="s">
        <v>177</v>
      </c>
      <c r="D88" s="1">
        <v>25</v>
      </c>
      <c r="E88" s="1">
        <v>0</v>
      </c>
      <c r="F88" s="1">
        <v>40</v>
      </c>
      <c r="G88" s="1">
        <v>24</v>
      </c>
      <c r="H88" s="1">
        <v>25</v>
      </c>
      <c r="I88" s="1">
        <v>19</v>
      </c>
      <c r="J88" s="1">
        <v>28</v>
      </c>
      <c r="K88" s="1">
        <v>0</v>
      </c>
      <c r="L88" s="1">
        <v>24</v>
      </c>
      <c r="M88" s="1">
        <v>29</v>
      </c>
      <c r="N88" s="1"/>
      <c r="O88" s="1"/>
      <c r="P88" s="1"/>
      <c r="Q88" s="1"/>
      <c r="R88" s="1"/>
      <c r="S88" s="1"/>
      <c r="T88" s="1"/>
      <c r="U88" s="1"/>
      <c r="V88" s="1"/>
      <c r="W88" s="1"/>
      <c r="X88" s="1"/>
      <c r="Y88" s="1"/>
      <c r="Z88" s="1"/>
      <c r="AA88" s="1"/>
      <c r="AB88" s="1"/>
      <c r="AC88">
        <f t="shared" si="14"/>
        <v>214</v>
      </c>
      <c r="AD88">
        <f t="shared" si="15"/>
        <v>10</v>
      </c>
      <c r="AE88">
        <f t="shared" si="16"/>
        <v>2</v>
      </c>
      <c r="AF88">
        <f t="shared" si="17"/>
        <v>8</v>
      </c>
      <c r="AG88">
        <f t="shared" si="18"/>
        <v>26.75</v>
      </c>
    </row>
    <row r="89" spans="3:33">
      <c r="C89" t="s">
        <v>178</v>
      </c>
      <c r="D89" s="1">
        <v>30</v>
      </c>
      <c r="E89" s="1">
        <v>42</v>
      </c>
      <c r="F89" s="1">
        <v>25</v>
      </c>
      <c r="G89" s="1">
        <v>15</v>
      </c>
      <c r="H89" s="1">
        <v>20</v>
      </c>
      <c r="I89" s="1">
        <v>17</v>
      </c>
      <c r="J89" s="1">
        <v>36</v>
      </c>
      <c r="K89" s="1">
        <v>8</v>
      </c>
      <c r="L89" s="1">
        <v>0</v>
      </c>
      <c r="M89" s="1">
        <v>8</v>
      </c>
      <c r="N89" s="1"/>
      <c r="O89" s="1"/>
      <c r="P89" s="1"/>
      <c r="Q89" s="1"/>
      <c r="R89" s="1"/>
      <c r="S89" s="1"/>
      <c r="T89" s="1"/>
      <c r="U89" s="1"/>
      <c r="V89" s="1"/>
      <c r="W89" s="1"/>
      <c r="X89" s="1"/>
      <c r="Y89" s="1"/>
      <c r="Z89" s="1"/>
      <c r="AA89" s="1"/>
      <c r="AB89" s="1"/>
      <c r="AC89">
        <f t="shared" si="14"/>
        <v>201</v>
      </c>
      <c r="AD89">
        <f t="shared" si="15"/>
        <v>10</v>
      </c>
      <c r="AE89">
        <f t="shared" si="16"/>
        <v>1</v>
      </c>
      <c r="AF89">
        <f t="shared" si="17"/>
        <v>9</v>
      </c>
      <c r="AG89">
        <f t="shared" si="18"/>
        <v>22.333333333333332</v>
      </c>
    </row>
    <row r="90" spans="3:33">
      <c r="C90" t="s">
        <v>179</v>
      </c>
      <c r="D90" s="1">
        <v>34</v>
      </c>
      <c r="E90" s="1">
        <v>8</v>
      </c>
      <c r="F90" s="1">
        <v>17</v>
      </c>
      <c r="G90" s="1">
        <v>30</v>
      </c>
      <c r="H90" s="1">
        <v>0</v>
      </c>
      <c r="I90" s="1">
        <v>24</v>
      </c>
      <c r="J90" s="1">
        <v>32</v>
      </c>
      <c r="K90" s="1">
        <v>0</v>
      </c>
      <c r="L90" s="1">
        <v>18</v>
      </c>
      <c r="M90" s="1">
        <v>24</v>
      </c>
      <c r="N90" s="1">
        <v>0</v>
      </c>
      <c r="O90" s="1">
        <v>23</v>
      </c>
      <c r="P90" s="1"/>
      <c r="Q90" s="1"/>
      <c r="R90" s="1"/>
      <c r="S90" s="1"/>
      <c r="T90" s="1"/>
      <c r="U90" s="1"/>
      <c r="V90" s="1"/>
      <c r="W90" s="1"/>
      <c r="X90" s="1"/>
      <c r="Y90" s="1"/>
      <c r="Z90" s="1"/>
      <c r="AA90" s="1"/>
      <c r="AB90" s="1"/>
      <c r="AC90">
        <f t="shared" si="14"/>
        <v>210</v>
      </c>
      <c r="AD90">
        <f t="shared" si="15"/>
        <v>12</v>
      </c>
      <c r="AE90">
        <f t="shared" si="16"/>
        <v>3</v>
      </c>
      <c r="AF90">
        <f t="shared" si="17"/>
        <v>9</v>
      </c>
      <c r="AG90">
        <f t="shared" si="18"/>
        <v>23.333333333333332</v>
      </c>
    </row>
    <row r="91" spans="3:33">
      <c r="C91" t="s">
        <v>180</v>
      </c>
      <c r="D91" s="1">
        <v>0</v>
      </c>
      <c r="E91" s="1">
        <v>23</v>
      </c>
      <c r="F91" s="1">
        <v>22</v>
      </c>
      <c r="G91" s="1">
        <v>0</v>
      </c>
      <c r="H91" s="1">
        <v>0</v>
      </c>
      <c r="I91" s="1">
        <v>24</v>
      </c>
      <c r="J91" s="1">
        <v>23</v>
      </c>
      <c r="K91" s="1">
        <v>31</v>
      </c>
      <c r="L91" s="1">
        <v>0</v>
      </c>
      <c r="M91" s="1">
        <v>34</v>
      </c>
      <c r="N91" s="1">
        <v>32</v>
      </c>
      <c r="O91" s="1">
        <v>27</v>
      </c>
      <c r="P91" s="1"/>
      <c r="Q91" s="1"/>
      <c r="R91" s="1"/>
      <c r="S91" s="1"/>
      <c r="T91" s="1"/>
      <c r="U91" s="1"/>
      <c r="V91" s="1"/>
      <c r="W91" s="1"/>
      <c r="X91" s="1"/>
      <c r="Y91" s="1"/>
      <c r="Z91" s="1"/>
      <c r="AA91" s="1"/>
      <c r="AB91" s="1"/>
      <c r="AC91">
        <f t="shared" si="14"/>
        <v>216</v>
      </c>
      <c r="AD91">
        <f t="shared" si="15"/>
        <v>12</v>
      </c>
      <c r="AE91">
        <f t="shared" si="16"/>
        <v>4</v>
      </c>
      <c r="AF91">
        <f t="shared" si="17"/>
        <v>8</v>
      </c>
      <c r="AG91">
        <f t="shared" si="18"/>
        <v>27</v>
      </c>
    </row>
    <row r="92" spans="3:33">
      <c r="C92" t="s">
        <v>181</v>
      </c>
      <c r="D92" s="1">
        <v>15</v>
      </c>
      <c r="E92" s="1">
        <v>21</v>
      </c>
      <c r="F92" s="1">
        <v>18</v>
      </c>
      <c r="G92" s="1">
        <v>40</v>
      </c>
      <c r="H92" s="1">
        <v>0</v>
      </c>
      <c r="I92" s="1">
        <v>31</v>
      </c>
      <c r="J92" s="1">
        <v>0</v>
      </c>
      <c r="K92" s="1">
        <v>28</v>
      </c>
      <c r="L92" s="1">
        <v>16</v>
      </c>
      <c r="M92" s="1">
        <v>0</v>
      </c>
      <c r="N92" s="1">
        <v>0</v>
      </c>
      <c r="O92" s="1">
        <v>0</v>
      </c>
      <c r="P92" s="1">
        <v>31</v>
      </c>
      <c r="Q92" s="1"/>
      <c r="R92" s="1"/>
      <c r="S92" s="1"/>
      <c r="T92" s="1"/>
      <c r="U92" s="1"/>
      <c r="V92" s="1"/>
      <c r="W92" s="1"/>
      <c r="X92" s="1"/>
      <c r="Y92" s="1"/>
      <c r="Z92" s="1"/>
      <c r="AA92" s="1"/>
      <c r="AB92" s="1"/>
      <c r="AC92">
        <f t="shared" si="14"/>
        <v>200</v>
      </c>
      <c r="AD92">
        <f t="shared" si="15"/>
        <v>13</v>
      </c>
      <c r="AE92">
        <f t="shared" si="16"/>
        <v>5</v>
      </c>
      <c r="AF92">
        <f t="shared" si="17"/>
        <v>8</v>
      </c>
      <c r="AG92">
        <f t="shared" si="18"/>
        <v>25</v>
      </c>
    </row>
    <row r="93" spans="3:33">
      <c r="C93" t="s">
        <v>182</v>
      </c>
      <c r="D93" s="1">
        <v>29</v>
      </c>
      <c r="E93" s="1">
        <v>26</v>
      </c>
      <c r="F93" s="1">
        <v>0</v>
      </c>
      <c r="G93" s="1">
        <v>28</v>
      </c>
      <c r="H93" s="1">
        <v>0</v>
      </c>
      <c r="I93" s="1">
        <v>31</v>
      </c>
      <c r="J93" s="1">
        <v>23</v>
      </c>
      <c r="K93" s="1">
        <v>31</v>
      </c>
      <c r="L93" s="1">
        <v>33</v>
      </c>
      <c r="M93" s="1"/>
      <c r="N93" s="1"/>
      <c r="O93" s="1"/>
      <c r="P93" s="1"/>
      <c r="Q93" s="1"/>
      <c r="R93" s="1"/>
      <c r="S93" s="1"/>
      <c r="T93" s="1"/>
      <c r="U93" s="1"/>
      <c r="V93" s="1"/>
      <c r="W93" s="1"/>
      <c r="X93" s="1"/>
      <c r="Y93" s="1"/>
      <c r="Z93" s="1"/>
      <c r="AA93" s="1"/>
      <c r="AB93" s="1"/>
      <c r="AC93">
        <f t="shared" si="14"/>
        <v>201</v>
      </c>
      <c r="AD93">
        <f t="shared" si="15"/>
        <v>9</v>
      </c>
      <c r="AE93">
        <f t="shared" si="16"/>
        <v>2</v>
      </c>
      <c r="AF93">
        <f t="shared" si="17"/>
        <v>7</v>
      </c>
      <c r="AG93">
        <f t="shared" si="18"/>
        <v>28.714285714285715</v>
      </c>
    </row>
    <row r="94" spans="3:33">
      <c r="C94" t="s">
        <v>183</v>
      </c>
      <c r="D94" s="1">
        <v>27</v>
      </c>
      <c r="E94" s="1">
        <v>23</v>
      </c>
      <c r="F94" s="1">
        <v>0</v>
      </c>
      <c r="G94" s="1">
        <v>29</v>
      </c>
      <c r="H94" s="1">
        <v>25</v>
      </c>
      <c r="I94" s="1">
        <v>30</v>
      </c>
      <c r="J94" s="1">
        <v>33</v>
      </c>
      <c r="K94" s="1">
        <v>27</v>
      </c>
      <c r="L94" s="1">
        <v>24</v>
      </c>
      <c r="M94" s="1"/>
      <c r="N94" s="1"/>
      <c r="O94" s="1"/>
      <c r="P94" s="1"/>
      <c r="Q94" s="1"/>
      <c r="R94" s="1"/>
      <c r="S94" s="1"/>
      <c r="T94" s="1"/>
      <c r="U94" s="1"/>
      <c r="V94" s="1"/>
      <c r="W94" s="1"/>
      <c r="X94" s="1"/>
      <c r="Y94" s="1"/>
      <c r="Z94" s="1"/>
      <c r="AA94" s="1"/>
      <c r="AB94" s="1"/>
      <c r="AC94">
        <f t="shared" si="14"/>
        <v>218</v>
      </c>
      <c r="AD94">
        <f t="shared" si="15"/>
        <v>9</v>
      </c>
      <c r="AE94">
        <f t="shared" si="16"/>
        <v>1</v>
      </c>
      <c r="AF94">
        <f t="shared" si="17"/>
        <v>8</v>
      </c>
      <c r="AG94">
        <f t="shared" si="18"/>
        <v>27.25</v>
      </c>
    </row>
    <row r="95" spans="3:33">
      <c r="C95" t="s">
        <v>184</v>
      </c>
      <c r="D95" s="1">
        <v>0</v>
      </c>
      <c r="E95" s="1">
        <v>28</v>
      </c>
      <c r="F95" s="1">
        <v>23</v>
      </c>
      <c r="G95" s="1">
        <v>26</v>
      </c>
      <c r="H95" s="1">
        <v>27</v>
      </c>
      <c r="I95" s="1">
        <v>22</v>
      </c>
      <c r="J95" s="1">
        <v>22</v>
      </c>
      <c r="K95" s="1">
        <v>30</v>
      </c>
      <c r="L95" s="1">
        <v>0</v>
      </c>
      <c r="M95" s="1">
        <v>24</v>
      </c>
      <c r="N95" s="1"/>
      <c r="O95" s="1"/>
      <c r="P95" s="1"/>
      <c r="Q95" s="1"/>
      <c r="R95" s="1"/>
      <c r="S95" s="1"/>
      <c r="T95" s="1"/>
      <c r="U95" s="1"/>
      <c r="V95" s="1"/>
      <c r="W95" s="1"/>
      <c r="X95" s="1"/>
      <c r="Y95" s="1"/>
      <c r="Z95" s="1"/>
      <c r="AA95" s="1"/>
      <c r="AB95" s="1"/>
      <c r="AC95">
        <f t="shared" si="14"/>
        <v>202</v>
      </c>
      <c r="AD95">
        <f t="shared" si="15"/>
        <v>10</v>
      </c>
      <c r="AE95">
        <f t="shared" si="16"/>
        <v>2</v>
      </c>
      <c r="AF95">
        <f t="shared" si="17"/>
        <v>8</v>
      </c>
      <c r="AG95">
        <f t="shared" si="18"/>
        <v>25.25</v>
      </c>
    </row>
    <row r="96" spans="3:33">
      <c r="C96" t="s">
        <v>185</v>
      </c>
      <c r="D96" s="1">
        <v>45</v>
      </c>
      <c r="E96" s="1">
        <v>25</v>
      </c>
      <c r="F96" s="1">
        <v>0</v>
      </c>
      <c r="G96" s="1">
        <v>0</v>
      </c>
      <c r="H96" s="1">
        <v>19</v>
      </c>
      <c r="I96" s="1">
        <v>21</v>
      </c>
      <c r="J96" s="1">
        <v>25</v>
      </c>
      <c r="K96" s="1">
        <v>27</v>
      </c>
      <c r="L96" s="1">
        <v>31</v>
      </c>
      <c r="M96" s="1">
        <v>23</v>
      </c>
      <c r="N96" s="1"/>
      <c r="O96" s="1"/>
      <c r="P96" s="1"/>
      <c r="Q96" s="1"/>
      <c r="R96" s="1"/>
      <c r="S96" s="1"/>
      <c r="T96" s="1"/>
      <c r="U96" s="1"/>
      <c r="V96" s="1"/>
      <c r="W96" s="1"/>
      <c r="X96" s="1"/>
      <c r="Y96" s="1"/>
      <c r="Z96" s="1"/>
      <c r="AA96" s="1"/>
      <c r="AB96" s="1"/>
      <c r="AC96">
        <f t="shared" si="14"/>
        <v>216</v>
      </c>
      <c r="AD96">
        <f t="shared" si="15"/>
        <v>10</v>
      </c>
      <c r="AE96">
        <f t="shared" si="16"/>
        <v>2</v>
      </c>
      <c r="AF96">
        <f t="shared" si="17"/>
        <v>8</v>
      </c>
      <c r="AG96">
        <f t="shared" si="18"/>
        <v>27</v>
      </c>
    </row>
    <row r="97" spans="3:33">
      <c r="C97" t="s">
        <v>186</v>
      </c>
      <c r="D97" s="1">
        <v>20</v>
      </c>
      <c r="E97" s="1">
        <v>28</v>
      </c>
      <c r="F97" s="1">
        <v>31</v>
      </c>
      <c r="G97" s="1">
        <v>27</v>
      </c>
      <c r="H97" s="1">
        <v>28</v>
      </c>
      <c r="I97" s="1">
        <v>0</v>
      </c>
      <c r="J97" s="1">
        <v>23</v>
      </c>
      <c r="K97" s="1">
        <v>0</v>
      </c>
      <c r="L97" s="1">
        <v>29</v>
      </c>
      <c r="M97" s="1">
        <v>40</v>
      </c>
      <c r="N97" s="1"/>
      <c r="O97" s="1"/>
      <c r="P97" s="1"/>
      <c r="Q97" s="1"/>
      <c r="R97" s="1"/>
      <c r="S97" s="1"/>
      <c r="T97" s="1"/>
      <c r="U97" s="1"/>
      <c r="V97" s="1"/>
      <c r="W97" s="1"/>
      <c r="X97" s="1"/>
      <c r="Y97" s="1"/>
      <c r="Z97" s="1"/>
      <c r="AA97" s="1"/>
      <c r="AB97" s="1"/>
      <c r="AC97">
        <f t="shared" si="14"/>
        <v>226</v>
      </c>
      <c r="AD97">
        <f t="shared" si="15"/>
        <v>10</v>
      </c>
      <c r="AE97">
        <f t="shared" si="16"/>
        <v>2</v>
      </c>
      <c r="AF97">
        <f t="shared" si="17"/>
        <v>8</v>
      </c>
      <c r="AG97">
        <f t="shared" si="18"/>
        <v>28.25</v>
      </c>
    </row>
    <row r="98" spans="3:33">
      <c r="C98" t="s">
        <v>187</v>
      </c>
      <c r="D98" s="1">
        <v>24</v>
      </c>
      <c r="E98" s="1">
        <v>29</v>
      </c>
      <c r="F98" s="1">
        <v>41</v>
      </c>
      <c r="G98" s="1">
        <v>33</v>
      </c>
      <c r="H98" s="1">
        <v>16</v>
      </c>
      <c r="I98" s="1">
        <v>10</v>
      </c>
      <c r="J98" s="1">
        <v>19</v>
      </c>
      <c r="K98" s="1">
        <v>21</v>
      </c>
      <c r="L98" s="1">
        <v>31</v>
      </c>
      <c r="M98" s="1"/>
      <c r="N98" s="1"/>
      <c r="O98" s="1"/>
      <c r="P98" s="1"/>
      <c r="Q98" s="1"/>
      <c r="R98" s="1"/>
      <c r="S98" s="1"/>
      <c r="T98" s="1"/>
      <c r="U98" s="1"/>
      <c r="V98" s="1"/>
      <c r="W98" s="1"/>
      <c r="X98" s="1"/>
      <c r="Y98" s="1"/>
      <c r="Z98" s="1"/>
      <c r="AA98" s="1"/>
      <c r="AB98" s="1"/>
      <c r="AC98">
        <f t="shared" si="14"/>
        <v>224</v>
      </c>
      <c r="AD98">
        <f t="shared" si="15"/>
        <v>9</v>
      </c>
      <c r="AE98">
        <f t="shared" si="16"/>
        <v>0</v>
      </c>
      <c r="AF98">
        <f t="shared" si="17"/>
        <v>9</v>
      </c>
      <c r="AG98">
        <f t="shared" si="18"/>
        <v>24.888888888888889</v>
      </c>
    </row>
    <row r="99" spans="3:33">
      <c r="C99" t="s">
        <v>188</v>
      </c>
      <c r="D99" s="1">
        <v>25</v>
      </c>
      <c r="E99" s="1">
        <v>24</v>
      </c>
      <c r="F99" s="1">
        <v>26</v>
      </c>
      <c r="G99" s="1">
        <v>26</v>
      </c>
      <c r="H99" s="1">
        <v>21</v>
      </c>
      <c r="I99" s="1">
        <v>28</v>
      </c>
      <c r="J99" s="1">
        <v>31</v>
      </c>
      <c r="K99" s="1">
        <v>33</v>
      </c>
      <c r="L99" s="1"/>
      <c r="M99" s="1"/>
      <c r="N99" s="1"/>
      <c r="O99" s="1"/>
      <c r="P99" s="1"/>
      <c r="Q99" s="1"/>
      <c r="R99" s="1"/>
      <c r="S99" s="1"/>
      <c r="T99" s="1"/>
      <c r="U99" s="1"/>
      <c r="V99" s="1"/>
      <c r="W99" s="1"/>
      <c r="X99" s="1"/>
      <c r="Y99" s="1"/>
      <c r="Z99" s="1"/>
      <c r="AA99" s="1"/>
      <c r="AB99" s="1"/>
      <c r="AC99">
        <f t="shared" si="14"/>
        <v>214</v>
      </c>
      <c r="AD99">
        <f t="shared" si="15"/>
        <v>8</v>
      </c>
      <c r="AE99">
        <f t="shared" si="16"/>
        <v>0</v>
      </c>
      <c r="AF99">
        <f t="shared" si="17"/>
        <v>8</v>
      </c>
      <c r="AG99">
        <f t="shared" si="18"/>
        <v>26.75</v>
      </c>
    </row>
    <row r="100" spans="3:33">
      <c r="C100" t="s">
        <v>189</v>
      </c>
      <c r="D100" s="1">
        <v>36</v>
      </c>
      <c r="E100" s="1">
        <v>0</v>
      </c>
      <c r="F100" s="1">
        <v>28</v>
      </c>
      <c r="G100" s="1">
        <v>22</v>
      </c>
      <c r="H100" s="1">
        <v>20</v>
      </c>
      <c r="I100" s="1">
        <v>0</v>
      </c>
      <c r="J100" s="1">
        <v>39</v>
      </c>
      <c r="K100" s="1">
        <v>0</v>
      </c>
      <c r="L100" s="1">
        <v>26</v>
      </c>
      <c r="M100" s="1">
        <v>0</v>
      </c>
      <c r="N100" s="1">
        <v>20</v>
      </c>
      <c r="O100" s="1">
        <v>25</v>
      </c>
      <c r="P100" s="1"/>
      <c r="Q100" s="1"/>
      <c r="R100" s="1"/>
      <c r="S100" s="1"/>
      <c r="T100" s="1"/>
      <c r="U100" s="1"/>
      <c r="V100" s="1"/>
      <c r="W100" s="1"/>
      <c r="X100" s="1"/>
      <c r="Y100" s="1"/>
      <c r="Z100" s="1"/>
      <c r="AA100" s="1"/>
      <c r="AB100" s="1"/>
      <c r="AC100">
        <f t="shared" si="14"/>
        <v>216</v>
      </c>
      <c r="AD100">
        <f t="shared" si="15"/>
        <v>12</v>
      </c>
      <c r="AE100">
        <f t="shared" si="16"/>
        <v>4</v>
      </c>
      <c r="AF100">
        <f t="shared" si="17"/>
        <v>8</v>
      </c>
      <c r="AG100">
        <f t="shared" si="18"/>
        <v>27</v>
      </c>
    </row>
    <row r="101" spans="3:33">
      <c r="C101" t="s">
        <v>190</v>
      </c>
      <c r="D101" s="1">
        <v>0</v>
      </c>
      <c r="E101" s="1">
        <v>17</v>
      </c>
      <c r="F101" s="1">
        <v>14</v>
      </c>
      <c r="G101" s="1">
        <v>0</v>
      </c>
      <c r="H101" s="1">
        <v>10</v>
      </c>
      <c r="I101" s="1">
        <v>25</v>
      </c>
      <c r="J101" s="1">
        <v>18</v>
      </c>
      <c r="K101" s="1">
        <v>76</v>
      </c>
      <c r="L101" s="1">
        <v>0</v>
      </c>
      <c r="M101" s="1">
        <v>28</v>
      </c>
      <c r="N101" s="1">
        <v>22</v>
      </c>
      <c r="O101" s="1"/>
      <c r="P101" s="1"/>
      <c r="Q101" s="1"/>
      <c r="R101" s="1"/>
      <c r="S101" s="1"/>
      <c r="T101" s="1"/>
      <c r="U101" s="1"/>
      <c r="V101" s="1"/>
      <c r="W101" s="1"/>
      <c r="X101" s="1"/>
      <c r="Y101" s="1"/>
      <c r="Z101" s="1"/>
      <c r="AA101" s="1"/>
      <c r="AB101" s="1"/>
      <c r="AC101">
        <f t="shared" si="14"/>
        <v>210</v>
      </c>
      <c r="AD101">
        <f t="shared" si="15"/>
        <v>11</v>
      </c>
      <c r="AE101">
        <f t="shared" si="16"/>
        <v>3</v>
      </c>
      <c r="AF101">
        <f t="shared" si="17"/>
        <v>8</v>
      </c>
      <c r="AG101">
        <f t="shared" si="18"/>
        <v>26.25</v>
      </c>
    </row>
    <row r="102" spans="3:33">
      <c r="C102" t="s">
        <v>191</v>
      </c>
      <c r="D102" s="1">
        <v>31</v>
      </c>
      <c r="E102" s="1">
        <v>30</v>
      </c>
      <c r="F102" s="1">
        <v>23</v>
      </c>
      <c r="G102" s="1">
        <v>0</v>
      </c>
      <c r="H102" s="1">
        <v>25</v>
      </c>
      <c r="I102" s="1">
        <v>25</v>
      </c>
      <c r="J102" s="1">
        <v>27</v>
      </c>
      <c r="K102" s="1">
        <v>25</v>
      </c>
      <c r="L102" s="1">
        <v>25</v>
      </c>
      <c r="M102" s="1"/>
      <c r="N102" s="1"/>
      <c r="O102" s="1"/>
      <c r="P102" s="1"/>
      <c r="Q102" s="1"/>
      <c r="R102" s="1"/>
      <c r="S102" s="1"/>
      <c r="T102" s="1"/>
      <c r="U102" s="1"/>
      <c r="V102" s="1"/>
      <c r="W102" s="1"/>
      <c r="X102" s="1"/>
      <c r="Y102" s="1"/>
      <c r="Z102" s="1"/>
      <c r="AA102" s="1"/>
      <c r="AB102" s="1"/>
      <c r="AC102">
        <f t="shared" si="14"/>
        <v>211</v>
      </c>
      <c r="AD102">
        <f t="shared" si="15"/>
        <v>9</v>
      </c>
      <c r="AE102">
        <f t="shared" si="16"/>
        <v>1</v>
      </c>
      <c r="AF102">
        <f t="shared" si="17"/>
        <v>8</v>
      </c>
      <c r="AG102">
        <f t="shared" si="18"/>
        <v>26.375</v>
      </c>
    </row>
    <row r="103" spans="3:33">
      <c r="C103" t="s">
        <v>192</v>
      </c>
      <c r="D103" s="1">
        <v>30</v>
      </c>
      <c r="E103" s="1">
        <v>25</v>
      </c>
      <c r="F103" s="1">
        <v>0</v>
      </c>
      <c r="G103" s="1">
        <v>24</v>
      </c>
      <c r="H103" s="1">
        <v>23</v>
      </c>
      <c r="I103" s="1">
        <v>0</v>
      </c>
      <c r="J103" s="1">
        <v>28</v>
      </c>
      <c r="K103" s="1">
        <v>23</v>
      </c>
      <c r="L103" s="1">
        <v>34</v>
      </c>
      <c r="M103" s="1">
        <v>31</v>
      </c>
      <c r="N103" s="1"/>
      <c r="O103" s="1"/>
      <c r="P103" s="1"/>
      <c r="Q103" s="1"/>
      <c r="R103" s="1"/>
      <c r="S103" s="1"/>
      <c r="T103" s="1"/>
      <c r="U103" s="1"/>
      <c r="V103" s="1"/>
      <c r="W103" s="1"/>
      <c r="X103" s="1"/>
      <c r="Y103" s="1"/>
      <c r="Z103" s="1"/>
      <c r="AA103" s="1"/>
      <c r="AB103" s="1"/>
      <c r="AC103">
        <f t="shared" si="14"/>
        <v>218</v>
      </c>
      <c r="AD103">
        <f t="shared" si="15"/>
        <v>10</v>
      </c>
      <c r="AE103">
        <f t="shared" si="16"/>
        <v>2</v>
      </c>
      <c r="AF103">
        <f t="shared" si="17"/>
        <v>8</v>
      </c>
      <c r="AG103">
        <f t="shared" si="18"/>
        <v>27.25</v>
      </c>
    </row>
    <row r="104" spans="3:33">
      <c r="C104" t="s">
        <v>193</v>
      </c>
      <c r="D104" s="1">
        <v>36</v>
      </c>
      <c r="E104" s="1">
        <v>42</v>
      </c>
      <c r="F104" s="1">
        <v>32</v>
      </c>
      <c r="G104" s="1">
        <v>28</v>
      </c>
      <c r="H104" s="1">
        <v>21</v>
      </c>
      <c r="I104" s="1">
        <v>18</v>
      </c>
      <c r="J104" s="1">
        <v>20</v>
      </c>
      <c r="K104" s="1">
        <v>0</v>
      </c>
      <c r="L104" s="1">
        <v>20</v>
      </c>
      <c r="M104" s="1"/>
      <c r="N104" s="1"/>
      <c r="O104" s="1"/>
      <c r="P104" s="1"/>
      <c r="Q104" s="1"/>
      <c r="R104" s="1"/>
      <c r="S104" s="1"/>
      <c r="T104" s="1"/>
      <c r="U104" s="1"/>
      <c r="V104" s="1"/>
      <c r="W104" s="1"/>
      <c r="X104" s="1"/>
      <c r="Y104" s="1"/>
      <c r="Z104" s="1"/>
      <c r="AA104" s="1"/>
      <c r="AB104" s="1"/>
      <c r="AC104">
        <f t="shared" si="14"/>
        <v>217</v>
      </c>
      <c r="AD104">
        <f t="shared" si="15"/>
        <v>9</v>
      </c>
      <c r="AE104">
        <f t="shared" si="16"/>
        <v>1</v>
      </c>
      <c r="AF104">
        <f t="shared" si="17"/>
        <v>8</v>
      </c>
      <c r="AG104">
        <f t="shared" si="18"/>
        <v>27.125</v>
      </c>
    </row>
    <row r="105" spans="3:33">
      <c r="C105" t="s">
        <v>194</v>
      </c>
      <c r="D105" s="1">
        <v>23</v>
      </c>
      <c r="E105" s="1">
        <v>24</v>
      </c>
      <c r="F105" s="1">
        <v>0</v>
      </c>
      <c r="G105" s="1">
        <v>21</v>
      </c>
      <c r="H105" s="1">
        <v>21</v>
      </c>
      <c r="I105" s="1">
        <v>27</v>
      </c>
      <c r="J105" s="1">
        <v>24</v>
      </c>
      <c r="K105" s="1">
        <v>23</v>
      </c>
      <c r="L105" s="1">
        <v>25</v>
      </c>
      <c r="M105" s="1">
        <v>38</v>
      </c>
      <c r="N105" s="1"/>
      <c r="O105" s="1"/>
      <c r="P105" s="1"/>
      <c r="Q105" s="1"/>
      <c r="R105" s="1"/>
      <c r="S105" s="1"/>
      <c r="T105" s="1"/>
      <c r="U105" s="1"/>
      <c r="V105" s="1"/>
      <c r="W105" s="1"/>
      <c r="X105" s="1"/>
      <c r="Y105" s="1"/>
      <c r="Z105" s="1"/>
      <c r="AA105" s="1"/>
      <c r="AB105" s="1"/>
      <c r="AC105">
        <f t="shared" si="14"/>
        <v>226</v>
      </c>
      <c r="AD105">
        <f t="shared" si="15"/>
        <v>10</v>
      </c>
      <c r="AE105">
        <f t="shared" si="16"/>
        <v>1</v>
      </c>
      <c r="AF105">
        <f t="shared" si="17"/>
        <v>9</v>
      </c>
      <c r="AG105">
        <f t="shared" si="18"/>
        <v>25.111111111111111</v>
      </c>
    </row>
    <row r="106" spans="3:33">
      <c r="C106" t="s">
        <v>195</v>
      </c>
      <c r="D106" s="1">
        <v>25</v>
      </c>
      <c r="E106" s="1">
        <v>0</v>
      </c>
      <c r="F106" s="1">
        <v>0</v>
      </c>
      <c r="G106" s="1">
        <v>0</v>
      </c>
      <c r="H106" s="1">
        <v>18</v>
      </c>
      <c r="I106" s="1">
        <v>21</v>
      </c>
      <c r="J106" s="1">
        <v>23</v>
      </c>
      <c r="K106" s="1">
        <v>29</v>
      </c>
      <c r="L106" s="1">
        <v>0</v>
      </c>
      <c r="M106" s="1">
        <v>15</v>
      </c>
      <c r="N106" s="1">
        <v>16</v>
      </c>
      <c r="O106" s="1">
        <v>26</v>
      </c>
      <c r="P106" s="1">
        <v>22</v>
      </c>
      <c r="Q106" s="1">
        <v>22</v>
      </c>
      <c r="R106" s="1"/>
      <c r="S106" s="1"/>
      <c r="T106" s="1"/>
      <c r="U106" s="1"/>
      <c r="V106" s="1"/>
      <c r="W106" s="1"/>
      <c r="X106" s="1"/>
      <c r="Y106" s="1"/>
      <c r="Z106" s="1"/>
      <c r="AA106" s="1"/>
      <c r="AB106" s="1"/>
      <c r="AC106">
        <f t="shared" si="14"/>
        <v>217</v>
      </c>
      <c r="AD106">
        <f t="shared" si="15"/>
        <v>14</v>
      </c>
      <c r="AE106">
        <f t="shared" si="16"/>
        <v>4</v>
      </c>
      <c r="AF106">
        <f t="shared" si="17"/>
        <v>10</v>
      </c>
      <c r="AG106">
        <f t="shared" si="18"/>
        <v>21.7</v>
      </c>
    </row>
    <row r="107" spans="3:33">
      <c r="C107" t="s">
        <v>196</v>
      </c>
      <c r="D107" s="1">
        <v>27</v>
      </c>
      <c r="E107" s="1">
        <v>17</v>
      </c>
      <c r="F107" s="1">
        <v>34</v>
      </c>
      <c r="G107" s="1">
        <v>25</v>
      </c>
      <c r="H107" s="1">
        <v>0</v>
      </c>
      <c r="I107" s="1">
        <v>42</v>
      </c>
      <c r="J107" s="1">
        <v>35</v>
      </c>
      <c r="K107" s="1">
        <v>0</v>
      </c>
      <c r="L107" s="1">
        <v>23</v>
      </c>
      <c r="M107" s="1"/>
      <c r="N107" s="1"/>
      <c r="O107" s="1"/>
      <c r="P107" s="1"/>
      <c r="Q107" s="1"/>
      <c r="R107" s="1"/>
      <c r="S107" s="1"/>
      <c r="T107" s="1"/>
      <c r="U107" s="1"/>
      <c r="V107" s="1"/>
      <c r="W107" s="1"/>
      <c r="X107" s="1"/>
      <c r="Y107" s="1"/>
      <c r="Z107" s="1"/>
      <c r="AA107" s="1"/>
      <c r="AB107" s="1"/>
      <c r="AC107">
        <f t="shared" si="14"/>
        <v>203</v>
      </c>
      <c r="AD107">
        <f t="shared" si="15"/>
        <v>9</v>
      </c>
      <c r="AE107">
        <f t="shared" si="16"/>
        <v>2</v>
      </c>
      <c r="AF107">
        <f t="shared" si="17"/>
        <v>7</v>
      </c>
      <c r="AG107">
        <f t="shared" si="18"/>
        <v>29</v>
      </c>
    </row>
    <row r="108" spans="3:33">
      <c r="C108" t="s">
        <v>197</v>
      </c>
      <c r="D108" s="1">
        <v>0</v>
      </c>
      <c r="E108" s="1">
        <v>0</v>
      </c>
      <c r="F108" s="1">
        <v>21</v>
      </c>
      <c r="G108" s="1">
        <v>27</v>
      </c>
      <c r="H108" s="1">
        <v>21</v>
      </c>
      <c r="I108" s="1">
        <v>27</v>
      </c>
      <c r="J108" s="1">
        <v>44</v>
      </c>
      <c r="K108" s="1">
        <v>0</v>
      </c>
      <c r="L108" s="1">
        <v>36</v>
      </c>
      <c r="M108" s="1">
        <v>0</v>
      </c>
      <c r="N108" s="1">
        <v>26</v>
      </c>
      <c r="O108" s="1"/>
      <c r="P108" s="1"/>
      <c r="Q108" s="1"/>
      <c r="R108" s="1"/>
      <c r="S108" s="1"/>
      <c r="T108" s="1"/>
      <c r="U108" s="1"/>
      <c r="V108" s="1"/>
      <c r="W108" s="1"/>
      <c r="X108" s="1"/>
      <c r="Y108" s="1"/>
      <c r="Z108" s="1"/>
      <c r="AA108" s="1"/>
      <c r="AB108" s="1"/>
      <c r="AC108">
        <f t="shared" si="14"/>
        <v>202</v>
      </c>
      <c r="AD108">
        <f t="shared" si="15"/>
        <v>11</v>
      </c>
      <c r="AE108">
        <f t="shared" si="16"/>
        <v>4</v>
      </c>
      <c r="AF108">
        <f t="shared" si="17"/>
        <v>7</v>
      </c>
      <c r="AG108">
        <f t="shared" si="18"/>
        <v>28.857142857142858</v>
      </c>
    </row>
    <row r="109" spans="3:33">
      <c r="C109" t="s">
        <v>198</v>
      </c>
      <c r="D109" s="1">
        <v>27</v>
      </c>
      <c r="E109" s="1">
        <v>0</v>
      </c>
      <c r="F109" s="1">
        <v>0</v>
      </c>
      <c r="G109" s="1">
        <v>23</v>
      </c>
      <c r="H109" s="1">
        <v>22</v>
      </c>
      <c r="I109" s="1">
        <v>27</v>
      </c>
      <c r="J109" s="1">
        <v>0</v>
      </c>
      <c r="K109" s="1">
        <v>0</v>
      </c>
      <c r="L109" s="1">
        <v>25</v>
      </c>
      <c r="M109" s="1">
        <v>20</v>
      </c>
      <c r="N109" s="1">
        <v>27</v>
      </c>
      <c r="O109" s="1">
        <v>28</v>
      </c>
      <c r="P109" s="1">
        <v>29</v>
      </c>
      <c r="Q109" s="1"/>
      <c r="R109" s="1"/>
      <c r="S109" s="1"/>
      <c r="T109" s="1"/>
      <c r="U109" s="1"/>
      <c r="V109" s="1"/>
      <c r="W109" s="1"/>
      <c r="X109" s="1"/>
      <c r="Y109" s="1"/>
      <c r="Z109" s="1"/>
      <c r="AA109" s="1"/>
      <c r="AB109" s="1"/>
      <c r="AC109">
        <f t="shared" si="14"/>
        <v>228</v>
      </c>
      <c r="AD109">
        <f t="shared" si="15"/>
        <v>13</v>
      </c>
      <c r="AE109">
        <f t="shared" si="16"/>
        <v>4</v>
      </c>
      <c r="AF109">
        <f t="shared" si="17"/>
        <v>9</v>
      </c>
      <c r="AG109">
        <f t="shared" si="18"/>
        <v>25.333333333333332</v>
      </c>
    </row>
    <row r="110" spans="3:33">
      <c r="C110" t="s">
        <v>199</v>
      </c>
      <c r="D110" s="1">
        <v>23</v>
      </c>
      <c r="E110" s="1">
        <v>13</v>
      </c>
      <c r="F110" s="1">
        <v>0</v>
      </c>
      <c r="G110" s="1">
        <v>41</v>
      </c>
      <c r="H110" s="1">
        <v>21</v>
      </c>
      <c r="I110" s="1">
        <v>24</v>
      </c>
      <c r="J110" s="1">
        <v>24</v>
      </c>
      <c r="K110" s="1">
        <v>0</v>
      </c>
      <c r="L110" s="1">
        <v>0</v>
      </c>
      <c r="M110" s="1">
        <v>0</v>
      </c>
      <c r="N110" s="1">
        <v>29</v>
      </c>
      <c r="O110" s="1">
        <v>20</v>
      </c>
      <c r="P110" s="1">
        <v>0</v>
      </c>
      <c r="Q110" s="1">
        <v>29</v>
      </c>
      <c r="R110" s="1"/>
      <c r="S110" s="1"/>
      <c r="T110" s="1"/>
      <c r="U110" s="1"/>
      <c r="V110" s="1"/>
      <c r="W110" s="1"/>
      <c r="X110" s="1"/>
      <c r="Y110" s="1"/>
      <c r="Z110" s="1"/>
      <c r="AA110" s="1"/>
      <c r="AB110" s="1"/>
      <c r="AC110">
        <f t="shared" si="14"/>
        <v>224</v>
      </c>
      <c r="AD110">
        <f t="shared" si="15"/>
        <v>14</v>
      </c>
      <c r="AE110">
        <f t="shared" si="16"/>
        <v>5</v>
      </c>
      <c r="AF110">
        <f t="shared" si="17"/>
        <v>9</v>
      </c>
      <c r="AG110">
        <f t="shared" si="18"/>
        <v>24.888888888888889</v>
      </c>
    </row>
    <row r="111" spans="3:33">
      <c r="C111" t="s">
        <v>200</v>
      </c>
      <c r="D111" s="1">
        <v>20</v>
      </c>
      <c r="E111" s="1">
        <v>23</v>
      </c>
      <c r="F111" s="1">
        <v>0</v>
      </c>
      <c r="G111" s="1">
        <v>28</v>
      </c>
      <c r="H111" s="1">
        <v>30</v>
      </c>
      <c r="I111" s="1">
        <v>27</v>
      </c>
      <c r="J111" s="1">
        <v>0</v>
      </c>
      <c r="K111" s="1">
        <v>26</v>
      </c>
      <c r="L111" s="1">
        <v>26</v>
      </c>
      <c r="M111" s="1">
        <v>0</v>
      </c>
      <c r="N111" s="1">
        <v>28</v>
      </c>
      <c r="O111" s="1"/>
      <c r="P111" s="1"/>
      <c r="Q111" s="1"/>
      <c r="R111" s="1"/>
      <c r="S111" s="1"/>
      <c r="T111" s="1"/>
      <c r="U111" s="1"/>
      <c r="V111" s="1"/>
      <c r="W111" s="1"/>
      <c r="X111" s="1"/>
      <c r="Y111" s="1"/>
      <c r="Z111" s="1"/>
      <c r="AA111" s="1"/>
      <c r="AB111" s="1"/>
      <c r="AC111">
        <f t="shared" si="14"/>
        <v>208</v>
      </c>
      <c r="AD111">
        <f t="shared" si="15"/>
        <v>11</v>
      </c>
      <c r="AE111">
        <f t="shared" si="16"/>
        <v>3</v>
      </c>
      <c r="AF111">
        <f t="shared" si="17"/>
        <v>8</v>
      </c>
      <c r="AG111">
        <f t="shared" si="18"/>
        <v>26</v>
      </c>
    </row>
    <row r="112" spans="3:33">
      <c r="C112" t="s">
        <v>201</v>
      </c>
      <c r="D112" s="1">
        <v>0</v>
      </c>
      <c r="E112" s="1">
        <v>0</v>
      </c>
      <c r="F112" s="1">
        <v>36</v>
      </c>
      <c r="G112" s="1">
        <v>0</v>
      </c>
      <c r="H112" s="1">
        <v>18</v>
      </c>
      <c r="I112" s="1">
        <v>41</v>
      </c>
      <c r="J112" s="1">
        <v>20</v>
      </c>
      <c r="K112" s="1">
        <v>35</v>
      </c>
      <c r="L112" s="1">
        <v>12</v>
      </c>
      <c r="M112" s="1">
        <v>0</v>
      </c>
      <c r="N112" s="1">
        <v>48</v>
      </c>
      <c r="O112" s="1"/>
      <c r="P112" s="1"/>
      <c r="Q112" s="1"/>
      <c r="R112" s="1"/>
      <c r="S112" s="1"/>
      <c r="T112" s="1"/>
      <c r="U112" s="1"/>
      <c r="V112" s="1"/>
      <c r="W112" s="1"/>
      <c r="X112" s="1"/>
      <c r="Y112" s="1"/>
      <c r="Z112" s="1"/>
      <c r="AA112" s="1"/>
      <c r="AB112" s="1"/>
      <c r="AC112">
        <f t="shared" ref="AC112:AC115" si="19">SUM(D112:AB112)</f>
        <v>210</v>
      </c>
      <c r="AD112">
        <f t="shared" si="15"/>
        <v>11</v>
      </c>
      <c r="AE112">
        <f t="shared" si="16"/>
        <v>4</v>
      </c>
      <c r="AF112">
        <f t="shared" si="17"/>
        <v>7</v>
      </c>
      <c r="AG112">
        <f t="shared" si="18"/>
        <v>30</v>
      </c>
    </row>
    <row r="113" spans="3:33">
      <c r="C113" t="s">
        <v>202</v>
      </c>
      <c r="D113" s="1">
        <v>0</v>
      </c>
      <c r="E113" s="1">
        <v>23</v>
      </c>
      <c r="F113" s="1">
        <v>28</v>
      </c>
      <c r="G113" s="1">
        <v>18</v>
      </c>
      <c r="H113" s="1">
        <v>23</v>
      </c>
      <c r="I113" s="1">
        <v>27</v>
      </c>
      <c r="J113" s="1">
        <v>0</v>
      </c>
      <c r="K113" s="1">
        <v>20</v>
      </c>
      <c r="L113" s="1">
        <v>23</v>
      </c>
      <c r="M113" s="1">
        <v>0</v>
      </c>
      <c r="N113" s="1">
        <v>30</v>
      </c>
      <c r="O113" s="1">
        <v>22</v>
      </c>
      <c r="P113" s="1"/>
      <c r="Q113" s="1"/>
      <c r="R113" s="1"/>
      <c r="S113" s="1"/>
      <c r="T113" s="1"/>
      <c r="U113" s="1"/>
      <c r="V113" s="1"/>
      <c r="W113" s="1"/>
      <c r="X113" s="1"/>
      <c r="Y113" s="1"/>
      <c r="Z113" s="1"/>
      <c r="AA113" s="1"/>
      <c r="AB113" s="1"/>
      <c r="AC113">
        <f t="shared" si="19"/>
        <v>214</v>
      </c>
      <c r="AD113">
        <f t="shared" si="15"/>
        <v>12</v>
      </c>
      <c r="AE113">
        <f t="shared" si="16"/>
        <v>3</v>
      </c>
      <c r="AF113">
        <f t="shared" si="17"/>
        <v>9</v>
      </c>
      <c r="AG113">
        <f t="shared" si="18"/>
        <v>23.777777777777779</v>
      </c>
    </row>
    <row r="114" spans="3:33">
      <c r="C114" t="s">
        <v>203</v>
      </c>
      <c r="D114" s="1">
        <v>22</v>
      </c>
      <c r="E114" s="1">
        <v>22</v>
      </c>
      <c r="F114" s="1">
        <v>0</v>
      </c>
      <c r="G114" s="1">
        <v>0</v>
      </c>
      <c r="H114" s="1">
        <v>29</v>
      </c>
      <c r="I114" s="1">
        <v>41</v>
      </c>
      <c r="J114" s="1">
        <v>25</v>
      </c>
      <c r="K114" s="1">
        <v>25</v>
      </c>
      <c r="L114" s="1">
        <v>35</v>
      </c>
      <c r="M114" s="1">
        <v>13</v>
      </c>
      <c r="N114" s="1"/>
      <c r="O114" s="1"/>
      <c r="P114" s="1"/>
      <c r="Q114" s="1"/>
      <c r="R114" s="1"/>
      <c r="S114" s="1"/>
      <c r="T114" s="1"/>
      <c r="U114" s="1"/>
      <c r="V114" s="1"/>
      <c r="W114" s="1"/>
      <c r="X114" s="1"/>
      <c r="Y114" s="1"/>
      <c r="Z114" s="1"/>
      <c r="AA114" s="1"/>
      <c r="AB114" s="1"/>
      <c r="AC114">
        <f t="shared" si="19"/>
        <v>212</v>
      </c>
      <c r="AD114">
        <f t="shared" si="15"/>
        <v>10</v>
      </c>
      <c r="AE114">
        <f t="shared" si="16"/>
        <v>2</v>
      </c>
      <c r="AF114">
        <f t="shared" si="17"/>
        <v>8</v>
      </c>
      <c r="AG114">
        <f t="shared" si="18"/>
        <v>26.5</v>
      </c>
    </row>
    <row r="115" spans="3:33">
      <c r="C115" t="s">
        <v>204</v>
      </c>
      <c r="D115" s="1">
        <v>22</v>
      </c>
      <c r="E115" s="1">
        <v>20</v>
      </c>
      <c r="F115" s="1">
        <v>0</v>
      </c>
      <c r="G115" s="1">
        <v>13</v>
      </c>
      <c r="H115" s="1">
        <v>32</v>
      </c>
      <c r="I115" s="1">
        <v>29</v>
      </c>
      <c r="J115" s="1">
        <v>23</v>
      </c>
      <c r="K115" s="1">
        <v>25</v>
      </c>
      <c r="L115" s="1">
        <v>20</v>
      </c>
      <c r="M115" s="1">
        <v>22</v>
      </c>
      <c r="N115" s="1"/>
      <c r="O115" s="1"/>
      <c r="P115" s="1"/>
      <c r="Q115" s="1"/>
      <c r="R115" s="1"/>
      <c r="S115" s="1"/>
      <c r="T115" s="1"/>
      <c r="U115" s="1"/>
      <c r="V115" s="1"/>
      <c r="W115" s="1"/>
      <c r="X115" s="1"/>
      <c r="Y115" s="1"/>
      <c r="Z115" s="1"/>
      <c r="AA115" s="1"/>
      <c r="AB115" s="1"/>
      <c r="AC115">
        <f t="shared" si="19"/>
        <v>206</v>
      </c>
      <c r="AD115">
        <f t="shared" si="15"/>
        <v>10</v>
      </c>
      <c r="AE115">
        <f t="shared" si="16"/>
        <v>1</v>
      </c>
      <c r="AF115">
        <f t="shared" si="17"/>
        <v>9</v>
      </c>
      <c r="AG115">
        <f t="shared" si="18"/>
        <v>22.888888888888889</v>
      </c>
    </row>
    <row r="116" spans="3:33">
      <c r="AC116" t="s">
        <v>52</v>
      </c>
      <c r="AD116">
        <f>AVERAGE(AD16:AD115)</f>
        <v>10.68</v>
      </c>
      <c r="AE116">
        <f>AVERAGE(AE16:AE115)</f>
        <v>2.54</v>
      </c>
      <c r="AF116">
        <f>AVERAGE(AF16:AF115)</f>
        <v>8.14</v>
      </c>
      <c r="AG116">
        <f>AVERAGE(AG16:AG115)</f>
        <v>26.310999999999993</v>
      </c>
    </row>
  </sheetData>
  <conditionalFormatting sqref="D3:R12">
    <cfRule type="colorScale" priority="4">
      <colorScale>
        <cfvo type="min"/>
        <cfvo type="max"/>
        <color rgb="FFFF7128"/>
        <color theme="9"/>
      </colorScale>
    </cfRule>
    <cfRule type="cellIs" dxfId="4" priority="6" operator="equal">
      <formula>0</formula>
    </cfRule>
  </conditionalFormatting>
  <conditionalFormatting sqref="D16:AB115">
    <cfRule type="colorScale" priority="1">
      <colorScale>
        <cfvo type="min"/>
        <cfvo type="max"/>
        <color rgb="FFFF7128"/>
        <color theme="9"/>
      </colorScale>
    </cfRule>
    <cfRule type="cellIs" dxfId="3" priority="3" operator="equal">
      <formula>0</formula>
    </cfRule>
  </conditionalFormatting>
  <conditionalFormatting sqref="E7">
    <cfRule type="colorScale" priority="5">
      <colorScale>
        <cfvo type="min"/>
        <cfvo type="max"/>
        <color rgb="FFFF7128"/>
        <color theme="9"/>
      </colorScale>
    </cfRule>
  </conditionalFormatting>
  <conditionalFormatting sqref="E20 T20 X20 AB20 E30 E40 E50 E60 E70 E80 E90 E100 E110 T30 T40 T50 T60 T70 T80 T90 T100 T110 X30 X40 X50 X60 X70 X80 X90 X100 X110 AB30 AB40 AB50 AB60 AB70 AB80 AB90 AB100 AB110">
    <cfRule type="colorScale" priority="2">
      <colorScale>
        <cfvo type="min"/>
        <cfvo type="max"/>
        <color rgb="FFFF7128"/>
        <color theme="9"/>
      </colorScale>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6C5D68-9FEA-4FF1-9C76-48A9A8DEC204}">
  <dimension ref="B2:AG116"/>
  <sheetViews>
    <sheetView topLeftCell="U90" workbookViewId="0">
      <selection activeCell="D16" sqref="D16:X115"/>
    </sheetView>
  </sheetViews>
  <sheetFormatPr defaultRowHeight="15"/>
  <cols>
    <col min="2" max="2" width="29.140625" bestFit="1" customWidth="1"/>
  </cols>
  <sheetData>
    <row r="2" spans="2:33">
      <c r="B2" t="s">
        <v>70</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33">
      <c r="C3" t="s">
        <v>18</v>
      </c>
      <c r="D3" s="1">
        <v>34</v>
      </c>
      <c r="E3" s="1">
        <v>0</v>
      </c>
      <c r="F3" s="1">
        <v>40</v>
      </c>
      <c r="G3" s="1">
        <v>38</v>
      </c>
      <c r="H3" s="1">
        <v>0</v>
      </c>
      <c r="I3" s="1">
        <v>30</v>
      </c>
      <c r="J3" s="1">
        <v>24</v>
      </c>
      <c r="K3" s="1">
        <v>36</v>
      </c>
      <c r="L3" s="1">
        <v>0</v>
      </c>
      <c r="M3" s="1">
        <v>37</v>
      </c>
      <c r="N3" s="1"/>
      <c r="O3" s="1"/>
      <c r="P3" s="1"/>
      <c r="Q3" s="1"/>
      <c r="R3" s="1"/>
      <c r="S3">
        <f>SUM(D3:R3)</f>
        <v>239</v>
      </c>
      <c r="T3">
        <f>COUNT(D3:R3)</f>
        <v>10</v>
      </c>
      <c r="U3">
        <f>COUNTIF(D3:R3,0)</f>
        <v>3</v>
      </c>
      <c r="V3">
        <f>T3-U3</f>
        <v>7</v>
      </c>
      <c r="W3">
        <f>S3/V3</f>
        <v>34.142857142857146</v>
      </c>
    </row>
    <row r="4" spans="2:33">
      <c r="C4" t="s">
        <v>31</v>
      </c>
      <c r="D4" s="1">
        <v>0</v>
      </c>
      <c r="E4" s="1">
        <v>38</v>
      </c>
      <c r="F4" s="1">
        <v>0</v>
      </c>
      <c r="G4" s="1">
        <v>41</v>
      </c>
      <c r="H4" s="1">
        <v>37</v>
      </c>
      <c r="I4" s="1">
        <v>44</v>
      </c>
      <c r="J4" s="1">
        <v>35</v>
      </c>
      <c r="K4" s="1">
        <v>34</v>
      </c>
      <c r="L4" s="1"/>
      <c r="M4" s="1"/>
      <c r="N4" s="1"/>
      <c r="O4" s="1"/>
      <c r="P4" s="1"/>
      <c r="Q4" s="1"/>
      <c r="R4" s="1"/>
      <c r="S4">
        <f t="shared" ref="S4:S12" si="0">SUM(D4:R4)</f>
        <v>229</v>
      </c>
      <c r="T4">
        <f t="shared" ref="T4:T12" si="1">COUNT(D4:R4)</f>
        <v>8</v>
      </c>
      <c r="U4">
        <f t="shared" ref="U4:U12" si="2">COUNTIF(D4:R4,0)</f>
        <v>2</v>
      </c>
      <c r="V4">
        <f t="shared" ref="V4:V12" si="3">T4-U4</f>
        <v>6</v>
      </c>
      <c r="W4">
        <f t="shared" ref="W4:W12" si="4">S4/V4</f>
        <v>38.166666666666664</v>
      </c>
    </row>
    <row r="5" spans="2:33">
      <c r="C5" t="s">
        <v>32</v>
      </c>
      <c r="D5" s="1">
        <v>0</v>
      </c>
      <c r="E5" s="1">
        <v>54</v>
      </c>
      <c r="F5" s="1">
        <v>35</v>
      </c>
      <c r="G5" s="1">
        <v>33</v>
      </c>
      <c r="H5" s="1">
        <v>0</v>
      </c>
      <c r="I5" s="1">
        <v>40</v>
      </c>
      <c r="J5" s="1">
        <v>0</v>
      </c>
      <c r="K5" s="1">
        <v>39</v>
      </c>
      <c r="L5" s="1"/>
      <c r="M5" s="1"/>
      <c r="N5" s="1"/>
      <c r="O5" s="1"/>
      <c r="P5" s="1"/>
      <c r="Q5" s="1"/>
      <c r="R5" s="1"/>
      <c r="S5">
        <f t="shared" si="0"/>
        <v>201</v>
      </c>
      <c r="T5">
        <f t="shared" si="1"/>
        <v>8</v>
      </c>
      <c r="U5">
        <f t="shared" si="2"/>
        <v>3</v>
      </c>
      <c r="V5">
        <f t="shared" si="3"/>
        <v>5</v>
      </c>
      <c r="W5">
        <f t="shared" si="4"/>
        <v>40.200000000000003</v>
      </c>
    </row>
    <row r="6" spans="2:33">
      <c r="C6" t="s">
        <v>33</v>
      </c>
      <c r="D6" s="1">
        <v>0</v>
      </c>
      <c r="E6" s="1">
        <v>0</v>
      </c>
      <c r="F6" s="1">
        <v>0</v>
      </c>
      <c r="G6" s="1">
        <v>30</v>
      </c>
      <c r="H6" s="1">
        <v>0</v>
      </c>
      <c r="I6" s="1">
        <v>32</v>
      </c>
      <c r="J6" s="1">
        <v>0</v>
      </c>
      <c r="K6" s="1">
        <v>23</v>
      </c>
      <c r="L6" s="1">
        <v>42</v>
      </c>
      <c r="M6" s="1">
        <v>29</v>
      </c>
      <c r="N6" s="1">
        <v>0</v>
      </c>
      <c r="O6" s="1">
        <v>32</v>
      </c>
      <c r="P6" s="1">
        <v>0</v>
      </c>
      <c r="Q6" s="1">
        <v>38</v>
      </c>
      <c r="R6" s="1"/>
      <c r="S6">
        <f t="shared" si="0"/>
        <v>226</v>
      </c>
      <c r="T6">
        <f t="shared" si="1"/>
        <v>14</v>
      </c>
      <c r="U6">
        <f t="shared" si="2"/>
        <v>7</v>
      </c>
      <c r="V6">
        <f t="shared" si="3"/>
        <v>7</v>
      </c>
      <c r="W6">
        <f t="shared" si="4"/>
        <v>32.285714285714285</v>
      </c>
    </row>
    <row r="7" spans="2:33">
      <c r="C7" t="s">
        <v>34</v>
      </c>
      <c r="D7" s="1">
        <v>0</v>
      </c>
      <c r="E7" s="1">
        <v>35</v>
      </c>
      <c r="F7" s="1">
        <v>42</v>
      </c>
      <c r="G7" s="1">
        <v>0</v>
      </c>
      <c r="H7" s="1">
        <v>34</v>
      </c>
      <c r="I7" s="1">
        <v>33</v>
      </c>
      <c r="J7" s="1">
        <v>0</v>
      </c>
      <c r="K7" s="1">
        <v>0</v>
      </c>
      <c r="L7" s="1">
        <v>0</v>
      </c>
      <c r="M7" s="1">
        <v>45</v>
      </c>
      <c r="N7" s="1">
        <v>27</v>
      </c>
      <c r="O7" s="1"/>
      <c r="P7" s="1"/>
      <c r="Q7" s="1"/>
      <c r="R7" s="1"/>
      <c r="S7">
        <f t="shared" si="0"/>
        <v>216</v>
      </c>
      <c r="T7">
        <f t="shared" si="1"/>
        <v>11</v>
      </c>
      <c r="U7">
        <f t="shared" si="2"/>
        <v>5</v>
      </c>
      <c r="V7">
        <f t="shared" si="3"/>
        <v>6</v>
      </c>
      <c r="W7">
        <f t="shared" si="4"/>
        <v>36</v>
      </c>
    </row>
    <row r="8" spans="2:33">
      <c r="C8" t="s">
        <v>35</v>
      </c>
      <c r="D8" s="1">
        <v>32</v>
      </c>
      <c r="E8" s="1">
        <v>40</v>
      </c>
      <c r="F8" s="1">
        <v>37</v>
      </c>
      <c r="G8" s="1">
        <v>33</v>
      </c>
      <c r="H8" s="1">
        <v>0</v>
      </c>
      <c r="I8" s="1">
        <v>31</v>
      </c>
      <c r="J8" s="1">
        <v>38</v>
      </c>
      <c r="K8" s="1"/>
      <c r="L8" s="1"/>
      <c r="M8" s="1"/>
      <c r="N8" s="1"/>
      <c r="O8" s="1"/>
      <c r="P8" s="1"/>
      <c r="Q8" s="1"/>
      <c r="R8" s="1"/>
      <c r="S8">
        <f t="shared" si="0"/>
        <v>211</v>
      </c>
      <c r="T8">
        <f t="shared" si="1"/>
        <v>7</v>
      </c>
      <c r="U8">
        <f t="shared" si="2"/>
        <v>1</v>
      </c>
      <c r="V8">
        <f t="shared" si="3"/>
        <v>6</v>
      </c>
      <c r="W8">
        <f t="shared" si="4"/>
        <v>35.166666666666664</v>
      </c>
    </row>
    <row r="9" spans="2:33">
      <c r="C9" t="s">
        <v>36</v>
      </c>
      <c r="D9" s="1">
        <v>32</v>
      </c>
      <c r="E9" s="1">
        <v>0</v>
      </c>
      <c r="F9" s="1">
        <v>33</v>
      </c>
      <c r="G9" s="1">
        <v>33</v>
      </c>
      <c r="H9" s="1">
        <v>0</v>
      </c>
      <c r="I9" s="1">
        <v>27</v>
      </c>
      <c r="J9" s="1">
        <v>33</v>
      </c>
      <c r="K9" s="1">
        <v>0</v>
      </c>
      <c r="L9" s="1">
        <v>36</v>
      </c>
      <c r="M9" s="1">
        <v>0</v>
      </c>
      <c r="N9" s="1">
        <v>43</v>
      </c>
      <c r="O9" s="1"/>
      <c r="P9" s="1"/>
      <c r="Q9" s="1"/>
      <c r="R9" s="1"/>
      <c r="S9">
        <f t="shared" si="0"/>
        <v>237</v>
      </c>
      <c r="T9">
        <f t="shared" si="1"/>
        <v>11</v>
      </c>
      <c r="U9">
        <f t="shared" si="2"/>
        <v>4</v>
      </c>
      <c r="V9">
        <f t="shared" si="3"/>
        <v>7</v>
      </c>
      <c r="W9">
        <f t="shared" si="4"/>
        <v>33.857142857142854</v>
      </c>
    </row>
    <row r="10" spans="2:33">
      <c r="C10" t="s">
        <v>37</v>
      </c>
      <c r="D10" s="1">
        <v>33</v>
      </c>
      <c r="E10" s="1">
        <v>36</v>
      </c>
      <c r="F10" s="1">
        <v>36</v>
      </c>
      <c r="G10" s="1">
        <v>41</v>
      </c>
      <c r="H10" s="1">
        <v>0</v>
      </c>
      <c r="I10" s="1">
        <v>37</v>
      </c>
      <c r="J10" s="1">
        <v>0</v>
      </c>
      <c r="K10" s="1">
        <v>35</v>
      </c>
      <c r="L10" s="1"/>
      <c r="M10" s="1"/>
      <c r="N10" s="1"/>
      <c r="O10" s="1"/>
      <c r="P10" s="1"/>
      <c r="Q10" s="1"/>
      <c r="R10" s="1"/>
      <c r="S10">
        <f t="shared" si="0"/>
        <v>218</v>
      </c>
      <c r="T10">
        <f t="shared" si="1"/>
        <v>8</v>
      </c>
      <c r="U10">
        <f t="shared" si="2"/>
        <v>2</v>
      </c>
      <c r="V10">
        <f t="shared" si="3"/>
        <v>6</v>
      </c>
      <c r="W10">
        <f t="shared" si="4"/>
        <v>36.333333333333336</v>
      </c>
    </row>
    <row r="11" spans="2:33">
      <c r="C11" t="s">
        <v>38</v>
      </c>
      <c r="D11" s="1">
        <v>0</v>
      </c>
      <c r="E11" s="1">
        <v>34</v>
      </c>
      <c r="F11" s="1">
        <v>0</v>
      </c>
      <c r="G11" s="1">
        <v>0</v>
      </c>
      <c r="H11" s="1">
        <v>0</v>
      </c>
      <c r="I11" s="1">
        <v>0</v>
      </c>
      <c r="J11" s="1">
        <v>48</v>
      </c>
      <c r="K11" s="1">
        <v>0</v>
      </c>
      <c r="L11" s="1">
        <v>35</v>
      </c>
      <c r="M11" s="1">
        <v>41</v>
      </c>
      <c r="N11" s="1">
        <v>0</v>
      </c>
      <c r="O11" s="1">
        <v>28</v>
      </c>
      <c r="P11" s="1">
        <v>34</v>
      </c>
      <c r="Q11" s="1"/>
      <c r="R11" s="1"/>
      <c r="S11">
        <f t="shared" si="0"/>
        <v>220</v>
      </c>
      <c r="T11">
        <f t="shared" si="1"/>
        <v>13</v>
      </c>
      <c r="U11">
        <f t="shared" si="2"/>
        <v>7</v>
      </c>
      <c r="V11">
        <f t="shared" si="3"/>
        <v>6</v>
      </c>
      <c r="W11">
        <f t="shared" si="4"/>
        <v>36.666666666666664</v>
      </c>
    </row>
    <row r="12" spans="2:33">
      <c r="C12" t="s">
        <v>39</v>
      </c>
      <c r="D12" s="1">
        <v>36</v>
      </c>
      <c r="E12" s="1">
        <v>36</v>
      </c>
      <c r="F12" s="1">
        <v>29</v>
      </c>
      <c r="G12" s="1">
        <v>0</v>
      </c>
      <c r="H12" s="1">
        <v>0</v>
      </c>
      <c r="I12" s="1">
        <v>38</v>
      </c>
      <c r="J12" s="1">
        <v>0</v>
      </c>
      <c r="K12" s="1">
        <v>0</v>
      </c>
      <c r="L12" s="1">
        <v>0</v>
      </c>
      <c r="M12" s="1">
        <v>0</v>
      </c>
      <c r="N12" s="1">
        <v>0</v>
      </c>
      <c r="O12" s="1">
        <v>22</v>
      </c>
      <c r="P12" s="1">
        <v>38</v>
      </c>
      <c r="Q12" s="1">
        <v>34</v>
      </c>
      <c r="R12" s="1"/>
      <c r="S12">
        <f t="shared" si="0"/>
        <v>233</v>
      </c>
      <c r="T12">
        <f t="shared" si="1"/>
        <v>14</v>
      </c>
      <c r="U12">
        <f t="shared" si="2"/>
        <v>7</v>
      </c>
      <c r="V12">
        <f t="shared" si="3"/>
        <v>7</v>
      </c>
      <c r="W12">
        <f t="shared" si="4"/>
        <v>33.285714285714285</v>
      </c>
    </row>
    <row r="13" spans="2:33">
      <c r="S13" t="s">
        <v>52</v>
      </c>
      <c r="T13">
        <f>AVERAGE(T3:T12)</f>
        <v>10.4</v>
      </c>
      <c r="U13">
        <f t="shared" ref="U13:W13" si="5">AVERAGE(U3:U12)</f>
        <v>4.0999999999999996</v>
      </c>
      <c r="V13">
        <f t="shared" si="5"/>
        <v>6.3</v>
      </c>
      <c r="W13">
        <f t="shared" si="5"/>
        <v>35.610476190476192</v>
      </c>
    </row>
    <row r="15" spans="2:33">
      <c r="D15" t="s">
        <v>19</v>
      </c>
      <c r="E15" t="s">
        <v>20</v>
      </c>
      <c r="F15" t="s">
        <v>21</v>
      </c>
      <c r="G15" t="s">
        <v>22</v>
      </c>
      <c r="H15" t="s">
        <v>23</v>
      </c>
      <c r="I15" t="s">
        <v>24</v>
      </c>
      <c r="J15" t="s">
        <v>25</v>
      </c>
      <c r="K15" t="s">
        <v>26</v>
      </c>
      <c r="L15" t="s">
        <v>27</v>
      </c>
      <c r="M15" t="s">
        <v>28</v>
      </c>
      <c r="N15" t="s">
        <v>29</v>
      </c>
      <c r="O15" t="s">
        <v>30</v>
      </c>
      <c r="P15" t="s">
        <v>40</v>
      </c>
      <c r="Q15" t="s">
        <v>41</v>
      </c>
      <c r="R15" t="s">
        <v>42</v>
      </c>
      <c r="S15" t="s">
        <v>72</v>
      </c>
      <c r="T15" t="s">
        <v>73</v>
      </c>
      <c r="U15" t="s">
        <v>74</v>
      </c>
      <c r="V15" t="s">
        <v>75</v>
      </c>
      <c r="W15" t="s">
        <v>76</v>
      </c>
      <c r="X15" t="s">
        <v>80</v>
      </c>
      <c r="Y15" t="s">
        <v>81</v>
      </c>
      <c r="Z15" t="s">
        <v>82</v>
      </c>
      <c r="AA15" t="s">
        <v>83</v>
      </c>
      <c r="AB15" t="s">
        <v>84</v>
      </c>
      <c r="AC15" t="s">
        <v>50</v>
      </c>
      <c r="AD15" t="s">
        <v>49</v>
      </c>
      <c r="AE15" t="s">
        <v>48</v>
      </c>
      <c r="AF15" t="s">
        <v>51</v>
      </c>
      <c r="AG15" t="s">
        <v>77</v>
      </c>
    </row>
    <row r="16" spans="2:33">
      <c r="C16" t="s">
        <v>18</v>
      </c>
      <c r="D16" s="1">
        <v>0</v>
      </c>
      <c r="E16" s="1">
        <v>31</v>
      </c>
      <c r="F16" s="1">
        <v>34</v>
      </c>
      <c r="G16" s="1">
        <v>38</v>
      </c>
      <c r="H16" s="1">
        <v>34</v>
      </c>
      <c r="I16" s="1">
        <v>31</v>
      </c>
      <c r="J16" s="1">
        <v>36</v>
      </c>
      <c r="K16" s="1"/>
      <c r="L16" s="1"/>
      <c r="M16" s="1"/>
      <c r="N16" s="1"/>
      <c r="O16" s="1"/>
      <c r="P16" s="1"/>
      <c r="Q16" s="1"/>
      <c r="R16" s="1"/>
      <c r="S16" s="1"/>
      <c r="T16" s="1"/>
      <c r="U16" s="1"/>
      <c r="V16" s="1"/>
      <c r="W16" s="1"/>
      <c r="X16" s="1"/>
      <c r="Y16" s="1"/>
      <c r="Z16" s="1"/>
      <c r="AA16" s="1"/>
      <c r="AB16" s="1"/>
      <c r="AC16">
        <f t="shared" ref="AC16:AC47" si="6">SUM(D16:AB16)</f>
        <v>204</v>
      </c>
      <c r="AD16">
        <f t="shared" ref="AD16:AD47" si="7">COUNT(D16:AB16)</f>
        <v>7</v>
      </c>
      <c r="AE16">
        <f t="shared" ref="AE16:AE47" si="8">COUNTIF(D16:AB16,0)</f>
        <v>1</v>
      </c>
      <c r="AF16">
        <f t="shared" ref="AF16:AF79" si="9">AD16-AE16</f>
        <v>6</v>
      </c>
      <c r="AG16">
        <f t="shared" ref="AG16:AG79" si="10">AC16/AF16</f>
        <v>34</v>
      </c>
    </row>
    <row r="17" spans="3:33">
      <c r="C17" t="s">
        <v>31</v>
      </c>
      <c r="D17" s="1">
        <v>34</v>
      </c>
      <c r="E17" s="1">
        <v>47</v>
      </c>
      <c r="F17" s="1">
        <v>35</v>
      </c>
      <c r="G17" s="1">
        <v>0</v>
      </c>
      <c r="H17" s="1">
        <v>29</v>
      </c>
      <c r="I17" s="1">
        <v>34</v>
      </c>
      <c r="J17" s="1">
        <v>39</v>
      </c>
      <c r="K17" s="1"/>
      <c r="L17" s="1"/>
      <c r="M17" s="1"/>
      <c r="N17" s="1"/>
      <c r="O17" s="1"/>
      <c r="P17" s="1"/>
      <c r="Q17" s="1"/>
      <c r="R17" s="1"/>
      <c r="S17" s="1"/>
      <c r="T17" s="1"/>
      <c r="U17" s="1"/>
      <c r="V17" s="1"/>
      <c r="W17" s="1"/>
      <c r="X17" s="1"/>
      <c r="Y17" s="1"/>
      <c r="Z17" s="1"/>
      <c r="AA17" s="1"/>
      <c r="AB17" s="1"/>
      <c r="AC17">
        <f t="shared" si="6"/>
        <v>218</v>
      </c>
      <c r="AD17">
        <f t="shared" si="7"/>
        <v>7</v>
      </c>
      <c r="AE17">
        <f t="shared" si="8"/>
        <v>1</v>
      </c>
      <c r="AF17">
        <f t="shared" si="9"/>
        <v>6</v>
      </c>
      <c r="AG17">
        <f t="shared" si="10"/>
        <v>36.333333333333336</v>
      </c>
    </row>
    <row r="18" spans="3:33">
      <c r="C18" t="s">
        <v>32</v>
      </c>
      <c r="D18" s="1">
        <v>23</v>
      </c>
      <c r="E18" s="1">
        <v>0</v>
      </c>
      <c r="F18" s="1">
        <v>0</v>
      </c>
      <c r="G18" s="1">
        <v>25</v>
      </c>
      <c r="H18" s="1">
        <v>29</v>
      </c>
      <c r="I18" s="1">
        <v>32</v>
      </c>
      <c r="J18" s="1">
        <v>0</v>
      </c>
      <c r="K18" s="1">
        <v>25</v>
      </c>
      <c r="L18" s="1">
        <v>32</v>
      </c>
      <c r="M18" s="1">
        <v>36</v>
      </c>
      <c r="N18" s="1"/>
      <c r="O18" s="1"/>
      <c r="P18" s="1"/>
      <c r="Q18" s="1"/>
      <c r="R18" s="1"/>
      <c r="S18" s="1"/>
      <c r="T18" s="1"/>
      <c r="U18" s="1"/>
      <c r="V18" s="1"/>
      <c r="W18" s="1"/>
      <c r="X18" s="1"/>
      <c r="Y18" s="1"/>
      <c r="Z18" s="1"/>
      <c r="AA18" s="1"/>
      <c r="AB18" s="1"/>
      <c r="AC18">
        <f t="shared" si="6"/>
        <v>202</v>
      </c>
      <c r="AD18">
        <f t="shared" si="7"/>
        <v>10</v>
      </c>
      <c r="AE18">
        <f t="shared" si="8"/>
        <v>3</v>
      </c>
      <c r="AF18">
        <f t="shared" si="9"/>
        <v>7</v>
      </c>
      <c r="AG18">
        <f t="shared" si="10"/>
        <v>28.857142857142858</v>
      </c>
    </row>
    <row r="19" spans="3:33">
      <c r="C19" t="s">
        <v>33</v>
      </c>
      <c r="D19" s="1">
        <v>33</v>
      </c>
      <c r="E19" s="1">
        <v>32</v>
      </c>
      <c r="F19" s="1">
        <v>0</v>
      </c>
      <c r="G19" s="1">
        <v>0</v>
      </c>
      <c r="H19" s="1">
        <v>0</v>
      </c>
      <c r="I19" s="1">
        <v>38</v>
      </c>
      <c r="J19" s="1">
        <v>0</v>
      </c>
      <c r="K19" s="1">
        <v>0</v>
      </c>
      <c r="L19" s="1">
        <v>28</v>
      </c>
      <c r="M19" s="1">
        <v>28</v>
      </c>
      <c r="N19" s="1">
        <v>32</v>
      </c>
      <c r="O19" s="1">
        <v>48</v>
      </c>
      <c r="P19" s="1"/>
      <c r="Q19" s="1"/>
      <c r="R19" s="1"/>
      <c r="S19" s="1"/>
      <c r="T19" s="1"/>
      <c r="U19" s="1"/>
      <c r="V19" s="1"/>
      <c r="W19" s="1"/>
      <c r="X19" s="1"/>
      <c r="Y19" s="1"/>
      <c r="Z19" s="1"/>
      <c r="AA19" s="1"/>
      <c r="AB19" s="1"/>
      <c r="AC19">
        <f t="shared" si="6"/>
        <v>239</v>
      </c>
      <c r="AD19">
        <f t="shared" si="7"/>
        <v>12</v>
      </c>
      <c r="AE19">
        <f t="shared" si="8"/>
        <v>5</v>
      </c>
      <c r="AF19">
        <f t="shared" si="9"/>
        <v>7</v>
      </c>
      <c r="AG19">
        <f t="shared" si="10"/>
        <v>34.142857142857146</v>
      </c>
    </row>
    <row r="20" spans="3:33">
      <c r="C20" t="s">
        <v>34</v>
      </c>
      <c r="D20" s="1">
        <v>30</v>
      </c>
      <c r="E20" s="1">
        <v>46</v>
      </c>
      <c r="F20" s="1">
        <v>30</v>
      </c>
      <c r="G20" s="1">
        <v>34</v>
      </c>
      <c r="H20" s="1">
        <v>39</v>
      </c>
      <c r="I20" s="1">
        <v>41</v>
      </c>
      <c r="J20" s="1"/>
      <c r="K20" s="1"/>
      <c r="L20" s="1"/>
      <c r="M20" s="1"/>
      <c r="N20" s="1"/>
      <c r="O20" s="1"/>
      <c r="P20" s="1"/>
      <c r="Q20" s="1"/>
      <c r="R20" s="1"/>
      <c r="S20" s="1"/>
      <c r="T20" s="1"/>
      <c r="U20" s="1"/>
      <c r="V20" s="1"/>
      <c r="W20" s="1"/>
      <c r="X20" s="1"/>
      <c r="Y20" s="1"/>
      <c r="Z20" s="1"/>
      <c r="AA20" s="1"/>
      <c r="AB20" s="1"/>
      <c r="AC20">
        <f t="shared" si="6"/>
        <v>220</v>
      </c>
      <c r="AD20">
        <f t="shared" si="7"/>
        <v>6</v>
      </c>
      <c r="AE20">
        <f t="shared" si="8"/>
        <v>0</v>
      </c>
      <c r="AF20">
        <f t="shared" si="9"/>
        <v>6</v>
      </c>
      <c r="AG20">
        <f t="shared" si="10"/>
        <v>36.666666666666664</v>
      </c>
    </row>
    <row r="21" spans="3:33">
      <c r="C21" t="s">
        <v>35</v>
      </c>
      <c r="D21" s="1">
        <v>46</v>
      </c>
      <c r="E21" s="1">
        <v>69</v>
      </c>
      <c r="F21" s="1">
        <v>27</v>
      </c>
      <c r="G21" s="1">
        <v>22</v>
      </c>
      <c r="H21" s="1">
        <v>43</v>
      </c>
      <c r="I21" s="1"/>
      <c r="J21" s="1"/>
      <c r="K21" s="1"/>
      <c r="L21" s="1"/>
      <c r="M21" s="1"/>
      <c r="N21" s="1"/>
      <c r="O21" s="1"/>
      <c r="P21" s="1"/>
      <c r="Q21" s="1"/>
      <c r="R21" s="1"/>
      <c r="S21" s="1"/>
      <c r="T21" s="1"/>
      <c r="U21" s="1"/>
      <c r="V21" s="1"/>
      <c r="W21" s="1"/>
      <c r="X21" s="1"/>
      <c r="Y21" s="1"/>
      <c r="Z21" s="1"/>
      <c r="AA21" s="1"/>
      <c r="AB21" s="1"/>
      <c r="AC21">
        <f t="shared" si="6"/>
        <v>207</v>
      </c>
      <c r="AD21">
        <f t="shared" si="7"/>
        <v>5</v>
      </c>
      <c r="AE21">
        <f t="shared" si="8"/>
        <v>0</v>
      </c>
      <c r="AF21">
        <f t="shared" si="9"/>
        <v>5</v>
      </c>
      <c r="AG21">
        <f t="shared" si="10"/>
        <v>41.4</v>
      </c>
    </row>
    <row r="22" spans="3:33">
      <c r="C22" t="s">
        <v>36</v>
      </c>
      <c r="D22" s="1">
        <v>0</v>
      </c>
      <c r="E22" s="1">
        <v>31</v>
      </c>
      <c r="F22" s="1">
        <v>0</v>
      </c>
      <c r="G22" s="1">
        <v>33</v>
      </c>
      <c r="H22" s="1">
        <v>35</v>
      </c>
      <c r="I22" s="1">
        <v>33</v>
      </c>
      <c r="J22" s="1">
        <v>0</v>
      </c>
      <c r="K22" s="1">
        <v>35</v>
      </c>
      <c r="L22" s="1">
        <v>43</v>
      </c>
      <c r="M22" s="1"/>
      <c r="N22" s="1"/>
      <c r="O22" s="1"/>
      <c r="P22" s="1"/>
      <c r="Q22" s="1"/>
      <c r="R22" s="1"/>
      <c r="S22" s="1"/>
      <c r="T22" s="1"/>
      <c r="U22" s="1"/>
      <c r="V22" s="1"/>
      <c r="W22" s="1"/>
      <c r="X22" s="1"/>
      <c r="Y22" s="1"/>
      <c r="Z22" s="1"/>
      <c r="AA22" s="1"/>
      <c r="AB22" s="1"/>
      <c r="AC22">
        <f t="shared" si="6"/>
        <v>210</v>
      </c>
      <c r="AD22">
        <f t="shared" si="7"/>
        <v>9</v>
      </c>
      <c r="AE22">
        <f t="shared" si="8"/>
        <v>3</v>
      </c>
      <c r="AF22">
        <f t="shared" si="9"/>
        <v>6</v>
      </c>
      <c r="AG22">
        <f t="shared" si="10"/>
        <v>35</v>
      </c>
    </row>
    <row r="23" spans="3:33">
      <c r="C23" t="s">
        <v>37</v>
      </c>
      <c r="D23" s="1">
        <v>28</v>
      </c>
      <c r="E23" s="1">
        <v>38</v>
      </c>
      <c r="F23" s="1">
        <v>38</v>
      </c>
      <c r="G23" s="1">
        <v>42</v>
      </c>
      <c r="H23" s="1">
        <v>0</v>
      </c>
      <c r="I23" s="1">
        <v>0</v>
      </c>
      <c r="J23" s="1">
        <v>39</v>
      </c>
      <c r="K23" s="1">
        <v>30</v>
      </c>
      <c r="L23" s="1"/>
      <c r="M23" s="1"/>
      <c r="N23" s="1"/>
      <c r="O23" s="1"/>
      <c r="P23" s="1"/>
      <c r="Q23" s="1"/>
      <c r="R23" s="1"/>
      <c r="S23" s="1"/>
      <c r="T23" s="1"/>
      <c r="U23" s="1"/>
      <c r="V23" s="1"/>
      <c r="W23" s="1"/>
      <c r="X23" s="1"/>
      <c r="Y23" s="1"/>
      <c r="Z23" s="1"/>
      <c r="AA23" s="1"/>
      <c r="AB23" s="1"/>
      <c r="AC23">
        <f t="shared" si="6"/>
        <v>215</v>
      </c>
      <c r="AD23">
        <f t="shared" si="7"/>
        <v>8</v>
      </c>
      <c r="AE23">
        <f t="shared" si="8"/>
        <v>2</v>
      </c>
      <c r="AF23">
        <f t="shared" si="9"/>
        <v>6</v>
      </c>
      <c r="AG23">
        <f t="shared" si="10"/>
        <v>35.833333333333336</v>
      </c>
    </row>
    <row r="24" spans="3:33">
      <c r="C24" t="s">
        <v>38</v>
      </c>
      <c r="D24" s="1">
        <v>0</v>
      </c>
      <c r="E24" s="1">
        <v>34</v>
      </c>
      <c r="F24" s="1">
        <v>78</v>
      </c>
      <c r="G24" s="1">
        <v>0</v>
      </c>
      <c r="H24" s="1">
        <v>0</v>
      </c>
      <c r="I24" s="1">
        <v>30</v>
      </c>
      <c r="J24" s="1">
        <v>37</v>
      </c>
      <c r="K24" s="1">
        <v>34</v>
      </c>
      <c r="L24" s="1"/>
      <c r="M24" s="1"/>
      <c r="N24" s="1"/>
      <c r="O24" s="1"/>
      <c r="P24" s="1"/>
      <c r="Q24" s="1"/>
      <c r="R24" s="1"/>
      <c r="S24" s="1"/>
      <c r="T24" s="1"/>
      <c r="U24" s="1"/>
      <c r="V24" s="1"/>
      <c r="W24" s="1"/>
      <c r="X24" s="1"/>
      <c r="Y24" s="1"/>
      <c r="Z24" s="1"/>
      <c r="AA24" s="1"/>
      <c r="AB24" s="1"/>
      <c r="AC24">
        <f t="shared" si="6"/>
        <v>213</v>
      </c>
      <c r="AD24">
        <f t="shared" si="7"/>
        <v>8</v>
      </c>
      <c r="AE24">
        <f t="shared" si="8"/>
        <v>3</v>
      </c>
      <c r="AF24">
        <f t="shared" si="9"/>
        <v>5</v>
      </c>
      <c r="AG24">
        <f t="shared" si="10"/>
        <v>42.6</v>
      </c>
    </row>
    <row r="25" spans="3:33">
      <c r="C25" t="s">
        <v>39</v>
      </c>
      <c r="D25" s="1">
        <v>41</v>
      </c>
      <c r="E25" s="1">
        <v>0</v>
      </c>
      <c r="F25" s="1">
        <v>33</v>
      </c>
      <c r="G25" s="1">
        <v>33</v>
      </c>
      <c r="H25" s="1">
        <v>35</v>
      </c>
      <c r="I25" s="1">
        <v>38</v>
      </c>
      <c r="J25" s="1">
        <v>0</v>
      </c>
      <c r="K25" s="1">
        <v>0</v>
      </c>
      <c r="L25" s="1">
        <v>0</v>
      </c>
      <c r="M25" s="1">
        <v>0</v>
      </c>
      <c r="N25" s="1">
        <v>33</v>
      </c>
      <c r="O25" s="1"/>
      <c r="P25" s="1"/>
      <c r="Q25" s="1"/>
      <c r="R25" s="1"/>
      <c r="S25" s="1"/>
      <c r="T25" s="1"/>
      <c r="U25" s="1"/>
      <c r="V25" s="1"/>
      <c r="W25" s="1"/>
      <c r="X25" s="1"/>
      <c r="Y25" s="1"/>
      <c r="Z25" s="1"/>
      <c r="AA25" s="1"/>
      <c r="AB25" s="1"/>
      <c r="AC25">
        <f t="shared" si="6"/>
        <v>213</v>
      </c>
      <c r="AD25">
        <f t="shared" si="7"/>
        <v>11</v>
      </c>
      <c r="AE25">
        <f t="shared" si="8"/>
        <v>5</v>
      </c>
      <c r="AF25">
        <f t="shared" si="9"/>
        <v>6</v>
      </c>
      <c r="AG25">
        <f t="shared" si="10"/>
        <v>35.5</v>
      </c>
    </row>
    <row r="26" spans="3:33">
      <c r="C26" t="s">
        <v>115</v>
      </c>
      <c r="D26" s="1">
        <v>51</v>
      </c>
      <c r="E26" s="1">
        <v>39</v>
      </c>
      <c r="F26" s="1">
        <v>0</v>
      </c>
      <c r="G26" s="1">
        <v>0</v>
      </c>
      <c r="H26" s="1">
        <v>0</v>
      </c>
      <c r="I26" s="1">
        <v>0</v>
      </c>
      <c r="J26" s="1">
        <v>26</v>
      </c>
      <c r="K26" s="1">
        <v>0</v>
      </c>
      <c r="L26" s="1">
        <v>0</v>
      </c>
      <c r="M26" s="1">
        <v>0</v>
      </c>
      <c r="N26" s="1">
        <v>0</v>
      </c>
      <c r="O26" s="1">
        <v>38</v>
      </c>
      <c r="P26" s="1">
        <v>0</v>
      </c>
      <c r="Q26" s="1">
        <v>0</v>
      </c>
      <c r="R26" s="1">
        <v>0</v>
      </c>
      <c r="S26" s="1">
        <v>0</v>
      </c>
      <c r="T26" s="1">
        <v>28</v>
      </c>
      <c r="U26" s="1">
        <v>0</v>
      </c>
      <c r="V26" s="1">
        <v>33</v>
      </c>
      <c r="W26" s="1"/>
      <c r="X26" s="1"/>
      <c r="Y26" s="1"/>
      <c r="Z26" s="1"/>
      <c r="AA26" s="1"/>
      <c r="AB26" s="1"/>
      <c r="AC26">
        <f t="shared" si="6"/>
        <v>215</v>
      </c>
      <c r="AD26">
        <f t="shared" si="7"/>
        <v>19</v>
      </c>
      <c r="AE26">
        <f t="shared" si="8"/>
        <v>13</v>
      </c>
      <c r="AF26">
        <f t="shared" si="9"/>
        <v>6</v>
      </c>
      <c r="AG26">
        <f t="shared" si="10"/>
        <v>35.833333333333336</v>
      </c>
    </row>
    <row r="27" spans="3:33">
      <c r="C27" t="s">
        <v>116</v>
      </c>
      <c r="D27" s="1">
        <v>0</v>
      </c>
      <c r="E27" s="1">
        <v>30</v>
      </c>
      <c r="F27" s="1">
        <v>29</v>
      </c>
      <c r="G27" s="1">
        <v>42</v>
      </c>
      <c r="H27" s="1">
        <v>0</v>
      </c>
      <c r="I27" s="1">
        <v>0</v>
      </c>
      <c r="J27" s="1">
        <v>25</v>
      </c>
      <c r="K27" s="1">
        <v>32</v>
      </c>
      <c r="L27" s="1">
        <v>23</v>
      </c>
      <c r="M27" s="1">
        <v>18</v>
      </c>
      <c r="N27" s="1">
        <v>33</v>
      </c>
      <c r="O27" s="1"/>
      <c r="P27" s="1"/>
      <c r="Q27" s="1"/>
      <c r="R27" s="1"/>
      <c r="S27" s="1"/>
      <c r="T27" s="1"/>
      <c r="U27" s="1"/>
      <c r="V27" s="1"/>
      <c r="W27" s="1"/>
      <c r="X27" s="1"/>
      <c r="Y27" s="1"/>
      <c r="Z27" s="1"/>
      <c r="AA27" s="1"/>
      <c r="AB27" s="1"/>
      <c r="AC27">
        <f t="shared" si="6"/>
        <v>232</v>
      </c>
      <c r="AD27">
        <f t="shared" si="7"/>
        <v>11</v>
      </c>
      <c r="AE27">
        <f t="shared" si="8"/>
        <v>3</v>
      </c>
      <c r="AF27">
        <f t="shared" si="9"/>
        <v>8</v>
      </c>
      <c r="AG27">
        <f t="shared" si="10"/>
        <v>29</v>
      </c>
    </row>
    <row r="28" spans="3:33">
      <c r="C28" t="s">
        <v>117</v>
      </c>
      <c r="D28" s="1">
        <v>27</v>
      </c>
      <c r="E28" s="1">
        <v>0</v>
      </c>
      <c r="F28" s="1">
        <v>23</v>
      </c>
      <c r="G28" s="1">
        <v>0</v>
      </c>
      <c r="H28" s="1">
        <v>34</v>
      </c>
      <c r="I28" s="1">
        <v>45</v>
      </c>
      <c r="J28" s="1">
        <v>0</v>
      </c>
      <c r="K28" s="1">
        <v>53</v>
      </c>
      <c r="L28" s="1">
        <v>32</v>
      </c>
      <c r="M28" s="1"/>
      <c r="N28" s="1"/>
      <c r="O28" s="1"/>
      <c r="P28" s="1"/>
      <c r="Q28" s="1"/>
      <c r="R28" s="1"/>
      <c r="S28" s="1"/>
      <c r="T28" s="1"/>
      <c r="U28" s="1"/>
      <c r="V28" s="1"/>
      <c r="W28" s="1"/>
      <c r="X28" s="1"/>
      <c r="Y28" s="1"/>
      <c r="Z28" s="1"/>
      <c r="AA28" s="1"/>
      <c r="AB28" s="1"/>
      <c r="AC28">
        <f t="shared" si="6"/>
        <v>214</v>
      </c>
      <c r="AD28">
        <f t="shared" si="7"/>
        <v>9</v>
      </c>
      <c r="AE28">
        <f t="shared" si="8"/>
        <v>3</v>
      </c>
      <c r="AF28">
        <f t="shared" si="9"/>
        <v>6</v>
      </c>
      <c r="AG28">
        <f t="shared" si="10"/>
        <v>35.666666666666664</v>
      </c>
    </row>
    <row r="29" spans="3:33">
      <c r="C29" t="s">
        <v>118</v>
      </c>
      <c r="D29" s="1">
        <v>0</v>
      </c>
      <c r="E29" s="1">
        <v>35</v>
      </c>
      <c r="F29" s="1">
        <v>0</v>
      </c>
      <c r="G29" s="1">
        <v>0</v>
      </c>
      <c r="H29" s="1">
        <v>40</v>
      </c>
      <c r="I29" s="1">
        <v>60</v>
      </c>
      <c r="J29" s="1">
        <v>39</v>
      </c>
      <c r="K29" s="1">
        <v>25</v>
      </c>
      <c r="L29" s="1">
        <v>0</v>
      </c>
      <c r="M29" s="1">
        <v>23</v>
      </c>
      <c r="N29" s="1"/>
      <c r="O29" s="1"/>
      <c r="P29" s="1"/>
      <c r="Q29" s="1"/>
      <c r="R29" s="1"/>
      <c r="S29" s="1"/>
      <c r="T29" s="1"/>
      <c r="U29" s="1"/>
      <c r="V29" s="1"/>
      <c r="W29" s="1"/>
      <c r="X29" s="1"/>
      <c r="Y29" s="1"/>
      <c r="Z29" s="1"/>
      <c r="AA29" s="1"/>
      <c r="AB29" s="1"/>
      <c r="AC29">
        <f t="shared" si="6"/>
        <v>222</v>
      </c>
      <c r="AD29">
        <f t="shared" si="7"/>
        <v>10</v>
      </c>
      <c r="AE29">
        <f t="shared" si="8"/>
        <v>4</v>
      </c>
      <c r="AF29">
        <f t="shared" si="9"/>
        <v>6</v>
      </c>
      <c r="AG29">
        <f t="shared" si="10"/>
        <v>37</v>
      </c>
    </row>
    <row r="30" spans="3:33">
      <c r="C30" t="s">
        <v>119</v>
      </c>
      <c r="D30" s="1">
        <v>0</v>
      </c>
      <c r="E30" s="1">
        <v>31</v>
      </c>
      <c r="F30" s="1">
        <v>33</v>
      </c>
      <c r="G30" s="1">
        <v>0</v>
      </c>
      <c r="H30" s="1">
        <v>36</v>
      </c>
      <c r="I30" s="1">
        <v>32</v>
      </c>
      <c r="J30" s="1">
        <v>0</v>
      </c>
      <c r="K30" s="1">
        <v>26</v>
      </c>
      <c r="L30" s="1">
        <v>35</v>
      </c>
      <c r="M30" s="1">
        <v>42</v>
      </c>
      <c r="N30" s="1"/>
      <c r="O30" s="1"/>
      <c r="P30" s="1"/>
      <c r="Q30" s="1"/>
      <c r="R30" s="1"/>
      <c r="S30" s="1"/>
      <c r="T30" s="1"/>
      <c r="U30" s="1"/>
      <c r="V30" s="1"/>
      <c r="W30" s="1"/>
      <c r="X30" s="1"/>
      <c r="Y30" s="1"/>
      <c r="Z30" s="1"/>
      <c r="AA30" s="1"/>
      <c r="AB30" s="1"/>
      <c r="AC30">
        <f t="shared" si="6"/>
        <v>235</v>
      </c>
      <c r="AD30">
        <f t="shared" si="7"/>
        <v>10</v>
      </c>
      <c r="AE30">
        <f t="shared" si="8"/>
        <v>3</v>
      </c>
      <c r="AF30">
        <f t="shared" si="9"/>
        <v>7</v>
      </c>
      <c r="AG30">
        <f t="shared" si="10"/>
        <v>33.571428571428569</v>
      </c>
    </row>
    <row r="31" spans="3:33">
      <c r="C31" t="s">
        <v>120</v>
      </c>
      <c r="D31" s="1">
        <v>34</v>
      </c>
      <c r="E31" s="1">
        <v>0</v>
      </c>
      <c r="F31" s="1">
        <v>0</v>
      </c>
      <c r="G31" s="1">
        <v>39</v>
      </c>
      <c r="H31" s="1">
        <v>0</v>
      </c>
      <c r="I31" s="1">
        <v>0</v>
      </c>
      <c r="J31" s="1">
        <v>0</v>
      </c>
      <c r="K31" s="1">
        <v>36</v>
      </c>
      <c r="L31" s="1">
        <v>0</v>
      </c>
      <c r="M31" s="1">
        <v>0</v>
      </c>
      <c r="N31" s="1">
        <v>0</v>
      </c>
      <c r="O31" s="1">
        <v>0</v>
      </c>
      <c r="P31" s="1">
        <v>36</v>
      </c>
      <c r="Q31" s="1">
        <v>35</v>
      </c>
      <c r="R31" s="1">
        <v>31</v>
      </c>
      <c r="S31" s="1"/>
      <c r="T31" s="1"/>
      <c r="U31" s="1"/>
      <c r="V31" s="1"/>
      <c r="W31" s="1"/>
      <c r="X31" s="1"/>
      <c r="Y31" s="1"/>
      <c r="Z31" s="1"/>
      <c r="AA31" s="1"/>
      <c r="AB31" s="1"/>
      <c r="AC31">
        <f t="shared" si="6"/>
        <v>211</v>
      </c>
      <c r="AD31">
        <f t="shared" si="7"/>
        <v>15</v>
      </c>
      <c r="AE31">
        <f t="shared" si="8"/>
        <v>9</v>
      </c>
      <c r="AF31">
        <f t="shared" si="9"/>
        <v>6</v>
      </c>
      <c r="AG31">
        <f t="shared" si="10"/>
        <v>35.166666666666664</v>
      </c>
    </row>
    <row r="32" spans="3:33">
      <c r="C32" t="s">
        <v>121</v>
      </c>
      <c r="D32" s="1">
        <v>38</v>
      </c>
      <c r="E32" s="1">
        <v>40</v>
      </c>
      <c r="F32" s="1">
        <v>0</v>
      </c>
      <c r="G32" s="1">
        <v>0</v>
      </c>
      <c r="H32" s="1">
        <v>0</v>
      </c>
      <c r="I32" s="1">
        <v>23</v>
      </c>
      <c r="J32" s="1">
        <v>0</v>
      </c>
      <c r="K32" s="1">
        <v>33</v>
      </c>
      <c r="L32" s="1">
        <v>29</v>
      </c>
      <c r="M32" s="1">
        <v>54</v>
      </c>
      <c r="N32" s="1"/>
      <c r="O32" s="1"/>
      <c r="P32" s="1"/>
      <c r="Q32" s="1"/>
      <c r="R32" s="1"/>
      <c r="S32" s="1"/>
      <c r="T32" s="1"/>
      <c r="U32" s="1"/>
      <c r="V32" s="1"/>
      <c r="W32" s="1"/>
      <c r="X32" s="1"/>
      <c r="Y32" s="1"/>
      <c r="Z32" s="1"/>
      <c r="AA32" s="1"/>
      <c r="AB32" s="1"/>
      <c r="AC32">
        <f t="shared" si="6"/>
        <v>217</v>
      </c>
      <c r="AD32">
        <f t="shared" si="7"/>
        <v>10</v>
      </c>
      <c r="AE32">
        <f t="shared" si="8"/>
        <v>4</v>
      </c>
      <c r="AF32">
        <f t="shared" si="9"/>
        <v>6</v>
      </c>
      <c r="AG32">
        <f t="shared" si="10"/>
        <v>36.166666666666664</v>
      </c>
    </row>
    <row r="33" spans="3:33">
      <c r="C33" t="s">
        <v>122</v>
      </c>
      <c r="D33" s="1">
        <v>0</v>
      </c>
      <c r="E33" s="1">
        <v>0</v>
      </c>
      <c r="F33" s="1">
        <v>0</v>
      </c>
      <c r="G33" s="1">
        <v>0</v>
      </c>
      <c r="H33" s="1">
        <v>0</v>
      </c>
      <c r="I33" s="1">
        <v>0</v>
      </c>
      <c r="J33" s="1">
        <v>36</v>
      </c>
      <c r="K33" s="1">
        <v>0</v>
      </c>
      <c r="L33" s="1">
        <v>34</v>
      </c>
      <c r="M33" s="1">
        <v>34</v>
      </c>
      <c r="N33" s="1">
        <v>0</v>
      </c>
      <c r="O33" s="1">
        <v>0</v>
      </c>
      <c r="P33" s="1">
        <v>37</v>
      </c>
      <c r="Q33" s="1">
        <v>35</v>
      </c>
      <c r="R33" s="1">
        <v>30</v>
      </c>
      <c r="S33" s="1"/>
      <c r="T33" s="1"/>
      <c r="U33" s="1"/>
      <c r="V33" s="1"/>
      <c r="W33" s="1"/>
      <c r="X33" s="1"/>
      <c r="Y33" s="1"/>
      <c r="Z33" s="1"/>
      <c r="AA33" s="1"/>
      <c r="AB33" s="1"/>
      <c r="AC33">
        <f t="shared" si="6"/>
        <v>206</v>
      </c>
      <c r="AD33">
        <f t="shared" si="7"/>
        <v>15</v>
      </c>
      <c r="AE33">
        <f t="shared" si="8"/>
        <v>9</v>
      </c>
      <c r="AF33">
        <f t="shared" si="9"/>
        <v>6</v>
      </c>
      <c r="AG33">
        <f t="shared" si="10"/>
        <v>34.333333333333336</v>
      </c>
    </row>
    <row r="34" spans="3:33">
      <c r="C34" t="s">
        <v>123</v>
      </c>
      <c r="D34" s="1">
        <v>0</v>
      </c>
      <c r="E34" s="1">
        <v>0</v>
      </c>
      <c r="F34" s="1">
        <v>0</v>
      </c>
      <c r="G34" s="1">
        <v>0</v>
      </c>
      <c r="H34" s="1">
        <v>37</v>
      </c>
      <c r="I34" s="1">
        <v>0</v>
      </c>
      <c r="J34" s="1">
        <v>34</v>
      </c>
      <c r="K34" s="1">
        <v>0</v>
      </c>
      <c r="L34" s="1">
        <v>0</v>
      </c>
      <c r="M34" s="1">
        <v>0</v>
      </c>
      <c r="N34" s="1">
        <v>32</v>
      </c>
      <c r="O34" s="1">
        <v>0</v>
      </c>
      <c r="P34" s="1">
        <v>0</v>
      </c>
      <c r="Q34" s="1">
        <v>29</v>
      </c>
      <c r="R34" s="1">
        <v>40</v>
      </c>
      <c r="S34" s="1">
        <v>31</v>
      </c>
      <c r="T34" s="1"/>
      <c r="U34" s="1"/>
      <c r="V34" s="1"/>
      <c r="W34" s="1"/>
      <c r="X34" s="1"/>
      <c r="Y34" s="1"/>
      <c r="Z34" s="1"/>
      <c r="AA34" s="1"/>
      <c r="AB34" s="1"/>
      <c r="AC34">
        <f t="shared" si="6"/>
        <v>203</v>
      </c>
      <c r="AD34">
        <f t="shared" si="7"/>
        <v>16</v>
      </c>
      <c r="AE34">
        <f t="shared" si="8"/>
        <v>10</v>
      </c>
      <c r="AF34">
        <f t="shared" si="9"/>
        <v>6</v>
      </c>
      <c r="AG34">
        <f t="shared" si="10"/>
        <v>33.833333333333336</v>
      </c>
    </row>
    <row r="35" spans="3:33">
      <c r="C35" t="s">
        <v>124</v>
      </c>
      <c r="D35" s="1">
        <v>0</v>
      </c>
      <c r="E35" s="1">
        <v>31</v>
      </c>
      <c r="F35" s="1">
        <v>32</v>
      </c>
      <c r="G35" s="1">
        <v>0</v>
      </c>
      <c r="H35" s="1">
        <v>40</v>
      </c>
      <c r="I35" s="1">
        <v>0</v>
      </c>
      <c r="J35" s="1">
        <v>0</v>
      </c>
      <c r="K35" s="1">
        <v>0</v>
      </c>
      <c r="L35" s="1">
        <v>0</v>
      </c>
      <c r="M35" s="1">
        <v>0</v>
      </c>
      <c r="N35" s="1">
        <v>0</v>
      </c>
      <c r="O35" s="1">
        <v>44</v>
      </c>
      <c r="P35" s="1">
        <v>25</v>
      </c>
      <c r="Q35" s="1">
        <v>0</v>
      </c>
      <c r="R35" s="1">
        <v>0</v>
      </c>
      <c r="S35" s="1">
        <v>0</v>
      </c>
      <c r="T35" s="1">
        <v>0</v>
      </c>
      <c r="U35" s="1">
        <v>0</v>
      </c>
      <c r="V35" s="1">
        <v>0</v>
      </c>
      <c r="W35" s="1">
        <v>41</v>
      </c>
      <c r="X35" s="1"/>
      <c r="Y35" s="1"/>
      <c r="Z35" s="1"/>
      <c r="AA35" s="1"/>
      <c r="AB35" s="1"/>
      <c r="AC35">
        <f t="shared" si="6"/>
        <v>213</v>
      </c>
      <c r="AD35">
        <f t="shared" si="7"/>
        <v>20</v>
      </c>
      <c r="AE35">
        <f t="shared" si="8"/>
        <v>14</v>
      </c>
      <c r="AF35">
        <f t="shared" si="9"/>
        <v>6</v>
      </c>
      <c r="AG35">
        <f t="shared" si="10"/>
        <v>35.5</v>
      </c>
    </row>
    <row r="36" spans="3:33">
      <c r="C36" t="s">
        <v>125</v>
      </c>
      <c r="D36" s="1">
        <v>0</v>
      </c>
      <c r="E36" s="1">
        <v>0</v>
      </c>
      <c r="F36" s="1">
        <v>0</v>
      </c>
      <c r="G36" s="1">
        <v>0</v>
      </c>
      <c r="H36" s="1">
        <v>0</v>
      </c>
      <c r="I36" s="1">
        <v>31</v>
      </c>
      <c r="J36" s="1">
        <v>0</v>
      </c>
      <c r="K36" s="1">
        <v>35</v>
      </c>
      <c r="L36" s="1">
        <v>42</v>
      </c>
      <c r="M36" s="1">
        <v>0</v>
      </c>
      <c r="N36" s="1">
        <v>0</v>
      </c>
      <c r="O36" s="1">
        <v>29</v>
      </c>
      <c r="P36" s="1">
        <v>0</v>
      </c>
      <c r="Q36" s="1">
        <v>0</v>
      </c>
      <c r="R36" s="1">
        <v>54</v>
      </c>
      <c r="S36" s="1">
        <v>0</v>
      </c>
      <c r="T36" s="1">
        <v>40</v>
      </c>
      <c r="U36" s="1"/>
      <c r="V36" s="1"/>
      <c r="W36" s="1"/>
      <c r="X36" s="1"/>
      <c r="Y36" s="1"/>
      <c r="Z36" s="1"/>
      <c r="AA36" s="1"/>
      <c r="AB36" s="1"/>
      <c r="AC36">
        <f t="shared" si="6"/>
        <v>231</v>
      </c>
      <c r="AD36">
        <f t="shared" si="7"/>
        <v>17</v>
      </c>
      <c r="AE36">
        <f t="shared" si="8"/>
        <v>11</v>
      </c>
      <c r="AF36">
        <f t="shared" si="9"/>
        <v>6</v>
      </c>
      <c r="AG36">
        <f t="shared" si="10"/>
        <v>38.5</v>
      </c>
    </row>
    <row r="37" spans="3:33">
      <c r="C37" t="s">
        <v>126</v>
      </c>
      <c r="D37" s="1">
        <v>0</v>
      </c>
      <c r="E37" s="1">
        <v>14</v>
      </c>
      <c r="F37" s="1">
        <v>0</v>
      </c>
      <c r="G37" s="1">
        <v>42</v>
      </c>
      <c r="H37" s="1">
        <v>17</v>
      </c>
      <c r="I37" s="1">
        <v>37</v>
      </c>
      <c r="J37" s="1">
        <v>32</v>
      </c>
      <c r="K37" s="1">
        <v>32</v>
      </c>
      <c r="L37" s="1">
        <v>36</v>
      </c>
      <c r="M37" s="1"/>
      <c r="N37" s="1"/>
      <c r="O37" s="1"/>
      <c r="P37" s="1"/>
      <c r="Q37" s="1"/>
      <c r="R37" s="1"/>
      <c r="S37" s="1"/>
      <c r="T37" s="1"/>
      <c r="U37" s="1"/>
      <c r="V37" s="1"/>
      <c r="W37" s="1"/>
      <c r="X37" s="1"/>
      <c r="Y37" s="1"/>
      <c r="Z37" s="1"/>
      <c r="AA37" s="1"/>
      <c r="AB37" s="1"/>
      <c r="AC37">
        <f t="shared" si="6"/>
        <v>210</v>
      </c>
      <c r="AD37">
        <f t="shared" si="7"/>
        <v>9</v>
      </c>
      <c r="AE37">
        <f t="shared" si="8"/>
        <v>2</v>
      </c>
      <c r="AF37">
        <f t="shared" si="9"/>
        <v>7</v>
      </c>
      <c r="AG37">
        <f t="shared" si="10"/>
        <v>30</v>
      </c>
    </row>
    <row r="38" spans="3:33">
      <c r="C38" t="s">
        <v>127</v>
      </c>
      <c r="D38" s="1">
        <v>43</v>
      </c>
      <c r="E38" s="1">
        <v>39</v>
      </c>
      <c r="F38" s="1">
        <v>0</v>
      </c>
      <c r="G38" s="1">
        <v>41</v>
      </c>
      <c r="H38" s="1">
        <v>0</v>
      </c>
      <c r="I38" s="1">
        <v>0</v>
      </c>
      <c r="J38" s="1">
        <v>34</v>
      </c>
      <c r="K38" s="1">
        <v>39</v>
      </c>
      <c r="L38" s="1">
        <v>48</v>
      </c>
      <c r="M38" s="1"/>
      <c r="N38" s="1"/>
      <c r="O38" s="1"/>
      <c r="P38" s="1"/>
      <c r="Q38" s="1"/>
      <c r="R38" s="1"/>
      <c r="S38" s="1"/>
      <c r="T38" s="1"/>
      <c r="U38" s="1"/>
      <c r="V38" s="1"/>
      <c r="W38" s="1"/>
      <c r="X38" s="1"/>
      <c r="Y38" s="1"/>
      <c r="Z38" s="1"/>
      <c r="AA38" s="1"/>
      <c r="AB38" s="1"/>
      <c r="AC38">
        <f t="shared" si="6"/>
        <v>244</v>
      </c>
      <c r="AD38">
        <f t="shared" si="7"/>
        <v>9</v>
      </c>
      <c r="AE38">
        <f t="shared" si="8"/>
        <v>3</v>
      </c>
      <c r="AF38">
        <f t="shared" si="9"/>
        <v>6</v>
      </c>
      <c r="AG38">
        <f t="shared" si="10"/>
        <v>40.666666666666664</v>
      </c>
    </row>
    <row r="39" spans="3:33">
      <c r="C39" t="s">
        <v>128</v>
      </c>
      <c r="D39" s="1">
        <v>0</v>
      </c>
      <c r="E39" s="1">
        <v>54</v>
      </c>
      <c r="F39" s="1">
        <v>24</v>
      </c>
      <c r="G39" s="1">
        <v>20</v>
      </c>
      <c r="H39" s="1">
        <v>36</v>
      </c>
      <c r="I39" s="1">
        <v>36</v>
      </c>
      <c r="J39" s="1">
        <v>42</v>
      </c>
      <c r="K39" s="1"/>
      <c r="L39" s="1"/>
      <c r="M39" s="1"/>
      <c r="N39" s="1"/>
      <c r="O39" s="1"/>
      <c r="P39" s="1"/>
      <c r="Q39" s="1"/>
      <c r="R39" s="1"/>
      <c r="S39" s="1"/>
      <c r="T39" s="1"/>
      <c r="U39" s="1"/>
      <c r="V39" s="1"/>
      <c r="W39" s="1"/>
      <c r="X39" s="1"/>
      <c r="Y39" s="1"/>
      <c r="Z39" s="1"/>
      <c r="AA39" s="1"/>
      <c r="AB39" s="1"/>
      <c r="AC39">
        <f t="shared" si="6"/>
        <v>212</v>
      </c>
      <c r="AD39">
        <f t="shared" si="7"/>
        <v>7</v>
      </c>
      <c r="AE39">
        <f t="shared" si="8"/>
        <v>1</v>
      </c>
      <c r="AF39">
        <f t="shared" si="9"/>
        <v>6</v>
      </c>
      <c r="AG39">
        <f t="shared" si="10"/>
        <v>35.333333333333336</v>
      </c>
    </row>
    <row r="40" spans="3:33">
      <c r="C40" t="s">
        <v>129</v>
      </c>
      <c r="D40" s="1">
        <v>0</v>
      </c>
      <c r="E40" s="1">
        <v>12</v>
      </c>
      <c r="F40" s="1">
        <v>12</v>
      </c>
      <c r="G40" s="1">
        <v>0</v>
      </c>
      <c r="H40" s="1">
        <v>34</v>
      </c>
      <c r="I40" s="1">
        <v>37</v>
      </c>
      <c r="J40" s="1">
        <v>31</v>
      </c>
      <c r="K40" s="1">
        <v>41</v>
      </c>
      <c r="L40" s="1">
        <v>36</v>
      </c>
      <c r="M40" s="1"/>
      <c r="N40" s="1"/>
      <c r="O40" s="1"/>
      <c r="P40" s="1"/>
      <c r="Q40" s="1"/>
      <c r="R40" s="1"/>
      <c r="S40" s="1"/>
      <c r="T40" s="1"/>
      <c r="U40" s="1"/>
      <c r="V40" s="1"/>
      <c r="W40" s="1"/>
      <c r="X40" s="1"/>
      <c r="Y40" s="1"/>
      <c r="Z40" s="1"/>
      <c r="AA40" s="1"/>
      <c r="AB40" s="1"/>
      <c r="AC40">
        <f t="shared" si="6"/>
        <v>203</v>
      </c>
      <c r="AD40">
        <f t="shared" si="7"/>
        <v>9</v>
      </c>
      <c r="AE40">
        <f t="shared" si="8"/>
        <v>2</v>
      </c>
      <c r="AF40">
        <f t="shared" si="9"/>
        <v>7</v>
      </c>
      <c r="AG40">
        <f t="shared" si="10"/>
        <v>29</v>
      </c>
    </row>
    <row r="41" spans="3:33">
      <c r="C41" t="s">
        <v>130</v>
      </c>
      <c r="D41" s="1">
        <v>35</v>
      </c>
      <c r="E41" s="1">
        <v>0</v>
      </c>
      <c r="F41" s="1">
        <v>36</v>
      </c>
      <c r="G41" s="1">
        <v>0</v>
      </c>
      <c r="H41" s="1">
        <v>0</v>
      </c>
      <c r="I41" s="1">
        <v>0</v>
      </c>
      <c r="J41" s="1">
        <v>0</v>
      </c>
      <c r="K41" s="1">
        <v>0</v>
      </c>
      <c r="L41" s="1">
        <v>0</v>
      </c>
      <c r="M41" s="1">
        <v>41</v>
      </c>
      <c r="N41" s="1">
        <v>0</v>
      </c>
      <c r="O41" s="1">
        <v>42</v>
      </c>
      <c r="P41" s="1">
        <v>0</v>
      </c>
      <c r="Q41" s="1">
        <v>33</v>
      </c>
      <c r="R41" s="1">
        <v>54</v>
      </c>
      <c r="S41" s="1"/>
      <c r="T41" s="1"/>
      <c r="U41" s="1"/>
      <c r="V41" s="1"/>
      <c r="W41" s="1"/>
      <c r="X41" s="1"/>
      <c r="Y41" s="1"/>
      <c r="Z41" s="1"/>
      <c r="AA41" s="1"/>
      <c r="AB41" s="1"/>
      <c r="AC41">
        <f t="shared" si="6"/>
        <v>241</v>
      </c>
      <c r="AD41">
        <f t="shared" si="7"/>
        <v>15</v>
      </c>
      <c r="AE41">
        <f t="shared" si="8"/>
        <v>9</v>
      </c>
      <c r="AF41">
        <f t="shared" si="9"/>
        <v>6</v>
      </c>
      <c r="AG41">
        <f t="shared" si="10"/>
        <v>40.166666666666664</v>
      </c>
    </row>
    <row r="42" spans="3:33">
      <c r="C42" t="s">
        <v>131</v>
      </c>
      <c r="D42" s="1">
        <v>0</v>
      </c>
      <c r="E42" s="1">
        <v>0</v>
      </c>
      <c r="F42" s="1">
        <v>38</v>
      </c>
      <c r="G42" s="1">
        <v>33</v>
      </c>
      <c r="H42" s="1">
        <v>31</v>
      </c>
      <c r="I42" s="1">
        <v>31</v>
      </c>
      <c r="J42" s="1">
        <v>0</v>
      </c>
      <c r="K42" s="1">
        <v>37</v>
      </c>
      <c r="L42" s="1">
        <v>0</v>
      </c>
      <c r="M42" s="1">
        <v>37</v>
      </c>
      <c r="N42" s="1"/>
      <c r="O42" s="1"/>
      <c r="P42" s="1"/>
      <c r="Q42" s="1"/>
      <c r="R42" s="1"/>
      <c r="S42" s="1"/>
      <c r="T42" s="1"/>
      <c r="U42" s="1"/>
      <c r="V42" s="1"/>
      <c r="W42" s="1"/>
      <c r="X42" s="1"/>
      <c r="Y42" s="1"/>
      <c r="Z42" s="1"/>
      <c r="AA42" s="1"/>
      <c r="AB42" s="1"/>
      <c r="AC42">
        <f t="shared" si="6"/>
        <v>207</v>
      </c>
      <c r="AD42">
        <f t="shared" si="7"/>
        <v>10</v>
      </c>
      <c r="AE42">
        <f t="shared" si="8"/>
        <v>4</v>
      </c>
      <c r="AF42">
        <f t="shared" si="9"/>
        <v>6</v>
      </c>
      <c r="AG42">
        <f t="shared" si="10"/>
        <v>34.5</v>
      </c>
    </row>
    <row r="43" spans="3:33">
      <c r="C43" t="s">
        <v>132</v>
      </c>
      <c r="D43" s="1">
        <v>0</v>
      </c>
      <c r="E43" s="1">
        <v>0</v>
      </c>
      <c r="F43" s="1">
        <v>0</v>
      </c>
      <c r="G43" s="1">
        <v>41</v>
      </c>
      <c r="H43" s="1">
        <v>0</v>
      </c>
      <c r="I43" s="1">
        <v>0</v>
      </c>
      <c r="J43" s="1">
        <v>25</v>
      </c>
      <c r="K43" s="1">
        <v>0</v>
      </c>
      <c r="L43" s="1">
        <v>0</v>
      </c>
      <c r="M43" s="1">
        <v>49</v>
      </c>
      <c r="N43" s="1">
        <v>25</v>
      </c>
      <c r="O43" s="1">
        <v>0</v>
      </c>
      <c r="P43" s="1">
        <v>0</v>
      </c>
      <c r="Q43" s="1">
        <v>16</v>
      </c>
      <c r="R43" s="1">
        <v>0</v>
      </c>
      <c r="S43" s="1">
        <v>33</v>
      </c>
      <c r="T43" s="1">
        <v>0</v>
      </c>
      <c r="U43" s="1">
        <v>38</v>
      </c>
      <c r="V43" s="1"/>
      <c r="W43" s="1"/>
      <c r="X43" s="1"/>
      <c r="Y43" s="1"/>
      <c r="Z43" s="1"/>
      <c r="AA43" s="1"/>
      <c r="AB43" s="1"/>
      <c r="AC43">
        <f t="shared" si="6"/>
        <v>227</v>
      </c>
      <c r="AD43">
        <f t="shared" si="7"/>
        <v>18</v>
      </c>
      <c r="AE43">
        <f t="shared" si="8"/>
        <v>11</v>
      </c>
      <c r="AF43">
        <f t="shared" si="9"/>
        <v>7</v>
      </c>
      <c r="AG43">
        <f t="shared" si="10"/>
        <v>32.428571428571431</v>
      </c>
    </row>
    <row r="44" spans="3:33">
      <c r="C44" t="s">
        <v>133</v>
      </c>
      <c r="D44" s="1">
        <v>42</v>
      </c>
      <c r="E44" s="1">
        <v>30</v>
      </c>
      <c r="F44" s="1">
        <v>33</v>
      </c>
      <c r="G44" s="1">
        <v>0</v>
      </c>
      <c r="H44" s="1">
        <v>0</v>
      </c>
      <c r="I44" s="1">
        <v>38</v>
      </c>
      <c r="J44" s="1">
        <v>0</v>
      </c>
      <c r="K44" s="1">
        <v>40</v>
      </c>
      <c r="L44" s="1">
        <v>38</v>
      </c>
      <c r="M44" s="1"/>
      <c r="N44" s="1"/>
      <c r="O44" s="1"/>
      <c r="P44" s="1"/>
      <c r="Q44" s="1"/>
      <c r="R44" s="1"/>
      <c r="S44" s="1"/>
      <c r="T44" s="1"/>
      <c r="U44" s="1"/>
      <c r="V44" s="1"/>
      <c r="W44" s="1"/>
      <c r="X44" s="1"/>
      <c r="Y44" s="1"/>
      <c r="Z44" s="1"/>
      <c r="AA44" s="1"/>
      <c r="AB44" s="1"/>
      <c r="AC44">
        <f t="shared" si="6"/>
        <v>221</v>
      </c>
      <c r="AD44">
        <f t="shared" si="7"/>
        <v>9</v>
      </c>
      <c r="AE44">
        <f t="shared" si="8"/>
        <v>3</v>
      </c>
      <c r="AF44">
        <f t="shared" si="9"/>
        <v>6</v>
      </c>
      <c r="AG44">
        <f t="shared" si="10"/>
        <v>36.833333333333336</v>
      </c>
    </row>
    <row r="45" spans="3:33">
      <c r="C45" t="s">
        <v>134</v>
      </c>
      <c r="D45" s="1">
        <v>0</v>
      </c>
      <c r="E45" s="1">
        <v>44</v>
      </c>
      <c r="F45" s="1">
        <v>0</v>
      </c>
      <c r="G45" s="1">
        <v>0</v>
      </c>
      <c r="H45" s="1">
        <v>32</v>
      </c>
      <c r="I45" s="1">
        <v>29</v>
      </c>
      <c r="J45" s="1">
        <v>0</v>
      </c>
      <c r="K45" s="1">
        <v>0</v>
      </c>
      <c r="L45" s="1">
        <v>0</v>
      </c>
      <c r="M45" s="1">
        <v>41</v>
      </c>
      <c r="N45" s="1">
        <v>24</v>
      </c>
      <c r="O45" s="1">
        <v>0</v>
      </c>
      <c r="P45" s="1">
        <v>34</v>
      </c>
      <c r="Q45" s="1"/>
      <c r="R45" s="1"/>
      <c r="S45" s="1"/>
      <c r="T45" s="1"/>
      <c r="U45" s="1"/>
      <c r="V45" s="1"/>
      <c r="W45" s="1"/>
      <c r="X45" s="1"/>
      <c r="Y45" s="1"/>
      <c r="Z45" s="1"/>
      <c r="AA45" s="1"/>
      <c r="AB45" s="1"/>
      <c r="AC45">
        <f t="shared" si="6"/>
        <v>204</v>
      </c>
      <c r="AD45">
        <f t="shared" si="7"/>
        <v>13</v>
      </c>
      <c r="AE45">
        <f t="shared" si="8"/>
        <v>7</v>
      </c>
      <c r="AF45">
        <f t="shared" si="9"/>
        <v>6</v>
      </c>
      <c r="AG45">
        <f t="shared" si="10"/>
        <v>34</v>
      </c>
    </row>
    <row r="46" spans="3:33">
      <c r="C46" t="s">
        <v>135</v>
      </c>
      <c r="D46" s="1">
        <v>34</v>
      </c>
      <c r="E46" s="1">
        <v>46</v>
      </c>
      <c r="F46" s="1">
        <v>33</v>
      </c>
      <c r="G46" s="1">
        <v>40</v>
      </c>
      <c r="H46" s="1">
        <v>0</v>
      </c>
      <c r="I46" s="1">
        <v>36</v>
      </c>
      <c r="J46" s="1">
        <v>27</v>
      </c>
      <c r="K46" s="1"/>
      <c r="L46" s="1"/>
      <c r="M46" s="1"/>
      <c r="N46" s="1"/>
      <c r="O46" s="1"/>
      <c r="P46" s="1"/>
      <c r="Q46" s="1"/>
      <c r="R46" s="1"/>
      <c r="S46" s="1"/>
      <c r="T46" s="1"/>
      <c r="U46" s="1"/>
      <c r="V46" s="1"/>
      <c r="W46" s="1"/>
      <c r="X46" s="1"/>
      <c r="Y46" s="1"/>
      <c r="Z46" s="1"/>
      <c r="AA46" s="1"/>
      <c r="AB46" s="1"/>
      <c r="AC46">
        <f t="shared" si="6"/>
        <v>216</v>
      </c>
      <c r="AD46">
        <f t="shared" si="7"/>
        <v>7</v>
      </c>
      <c r="AE46">
        <f t="shared" si="8"/>
        <v>1</v>
      </c>
      <c r="AF46">
        <f t="shared" si="9"/>
        <v>6</v>
      </c>
      <c r="AG46">
        <f t="shared" si="10"/>
        <v>36</v>
      </c>
    </row>
    <row r="47" spans="3:33">
      <c r="C47" t="s">
        <v>136</v>
      </c>
      <c r="D47" s="1">
        <v>38</v>
      </c>
      <c r="E47" s="1">
        <v>0</v>
      </c>
      <c r="F47" s="1">
        <v>29</v>
      </c>
      <c r="G47" s="1">
        <v>36</v>
      </c>
      <c r="H47" s="1">
        <v>37</v>
      </c>
      <c r="I47" s="1">
        <v>35</v>
      </c>
      <c r="J47" s="1">
        <v>0</v>
      </c>
      <c r="K47" s="1">
        <v>36</v>
      </c>
      <c r="L47" s="1"/>
      <c r="M47" s="1"/>
      <c r="N47" s="1"/>
      <c r="O47" s="1"/>
      <c r="P47" s="1"/>
      <c r="Q47" s="1"/>
      <c r="R47" s="1"/>
      <c r="S47" s="1"/>
      <c r="T47" s="1"/>
      <c r="U47" s="1"/>
      <c r="V47" s="1"/>
      <c r="W47" s="1"/>
      <c r="X47" s="1"/>
      <c r="Y47" s="1"/>
      <c r="Z47" s="1"/>
      <c r="AA47" s="1"/>
      <c r="AB47" s="1"/>
      <c r="AC47">
        <f t="shared" si="6"/>
        <v>211</v>
      </c>
      <c r="AD47">
        <f t="shared" si="7"/>
        <v>8</v>
      </c>
      <c r="AE47">
        <f t="shared" si="8"/>
        <v>2</v>
      </c>
      <c r="AF47">
        <f t="shared" si="9"/>
        <v>6</v>
      </c>
      <c r="AG47">
        <f t="shared" si="10"/>
        <v>35.166666666666664</v>
      </c>
    </row>
    <row r="48" spans="3:33">
      <c r="C48" t="s">
        <v>137</v>
      </c>
      <c r="D48" s="1">
        <v>21</v>
      </c>
      <c r="E48" s="1">
        <v>26</v>
      </c>
      <c r="F48" s="1">
        <v>34</v>
      </c>
      <c r="G48" s="1">
        <v>43</v>
      </c>
      <c r="H48" s="1">
        <v>22</v>
      </c>
      <c r="I48" s="1">
        <v>0</v>
      </c>
      <c r="J48" s="1">
        <v>22</v>
      </c>
      <c r="K48" s="1">
        <v>23</v>
      </c>
      <c r="L48" s="1">
        <v>29</v>
      </c>
      <c r="M48" s="1"/>
      <c r="N48" s="1"/>
      <c r="O48" s="1"/>
      <c r="P48" s="1"/>
      <c r="Q48" s="1"/>
      <c r="R48" s="1"/>
      <c r="S48" s="1"/>
      <c r="T48" s="1"/>
      <c r="U48" s="1"/>
      <c r="V48" s="1"/>
      <c r="W48" s="1"/>
      <c r="X48" s="1"/>
      <c r="Y48" s="1"/>
      <c r="Z48" s="1"/>
      <c r="AA48" s="1"/>
      <c r="AB48" s="1"/>
      <c r="AC48">
        <f t="shared" ref="AC48:AC79" si="11">SUM(D48:AB48)</f>
        <v>220</v>
      </c>
      <c r="AD48">
        <f t="shared" ref="AD48:AD79" si="12">COUNT(D48:AB48)</f>
        <v>9</v>
      </c>
      <c r="AE48">
        <f t="shared" ref="AE48:AE79" si="13">COUNTIF(D48:AB48,0)</f>
        <v>1</v>
      </c>
      <c r="AF48">
        <f t="shared" si="9"/>
        <v>8</v>
      </c>
      <c r="AG48">
        <f t="shared" si="10"/>
        <v>27.5</v>
      </c>
    </row>
    <row r="49" spans="3:33">
      <c r="C49" t="s">
        <v>138</v>
      </c>
      <c r="D49" s="1">
        <v>36</v>
      </c>
      <c r="E49" s="1">
        <v>33</v>
      </c>
      <c r="F49" s="1">
        <v>0</v>
      </c>
      <c r="G49" s="1">
        <v>0</v>
      </c>
      <c r="H49" s="1">
        <v>38</v>
      </c>
      <c r="I49" s="1">
        <v>0</v>
      </c>
      <c r="J49" s="1">
        <v>29</v>
      </c>
      <c r="K49" s="1">
        <v>37</v>
      </c>
      <c r="L49" s="1">
        <v>55</v>
      </c>
      <c r="M49" s="1"/>
      <c r="N49" s="1"/>
      <c r="O49" s="1"/>
      <c r="P49" s="1"/>
      <c r="Q49" s="1"/>
      <c r="R49" s="1"/>
      <c r="S49" s="1"/>
      <c r="T49" s="1"/>
      <c r="U49" s="1"/>
      <c r="V49" s="1"/>
      <c r="W49" s="1"/>
      <c r="X49" s="1"/>
      <c r="Y49" s="1"/>
      <c r="Z49" s="1"/>
      <c r="AA49" s="1"/>
      <c r="AB49" s="1"/>
      <c r="AC49">
        <f t="shared" si="11"/>
        <v>228</v>
      </c>
      <c r="AD49">
        <f t="shared" si="12"/>
        <v>9</v>
      </c>
      <c r="AE49">
        <f t="shared" si="13"/>
        <v>3</v>
      </c>
      <c r="AF49">
        <f t="shared" si="9"/>
        <v>6</v>
      </c>
      <c r="AG49">
        <f t="shared" si="10"/>
        <v>38</v>
      </c>
    </row>
    <row r="50" spans="3:33">
      <c r="C50" t="s">
        <v>139</v>
      </c>
      <c r="D50" s="1">
        <v>0</v>
      </c>
      <c r="E50" s="1">
        <v>41</v>
      </c>
      <c r="F50" s="1">
        <v>0</v>
      </c>
      <c r="G50" s="1">
        <v>34</v>
      </c>
      <c r="H50" s="1">
        <v>28</v>
      </c>
      <c r="I50" s="1">
        <v>0</v>
      </c>
      <c r="J50" s="1">
        <v>0</v>
      </c>
      <c r="K50" s="1">
        <v>42</v>
      </c>
      <c r="L50" s="1">
        <v>44</v>
      </c>
      <c r="M50" s="1">
        <v>0</v>
      </c>
      <c r="N50" s="1">
        <v>28</v>
      </c>
      <c r="O50" s="1"/>
      <c r="P50" s="1"/>
      <c r="Q50" s="1"/>
      <c r="R50" s="1"/>
      <c r="S50" s="1"/>
      <c r="T50" s="1"/>
      <c r="U50" s="1"/>
      <c r="V50" s="1"/>
      <c r="W50" s="1"/>
      <c r="X50" s="1"/>
      <c r="Y50" s="1"/>
      <c r="Z50" s="1"/>
      <c r="AA50" s="1"/>
      <c r="AB50" s="1"/>
      <c r="AC50">
        <f t="shared" si="11"/>
        <v>217</v>
      </c>
      <c r="AD50">
        <f t="shared" si="12"/>
        <v>11</v>
      </c>
      <c r="AE50">
        <f t="shared" si="13"/>
        <v>5</v>
      </c>
      <c r="AF50">
        <f t="shared" si="9"/>
        <v>6</v>
      </c>
      <c r="AG50">
        <f t="shared" si="10"/>
        <v>36.166666666666664</v>
      </c>
    </row>
    <row r="51" spans="3:33">
      <c r="C51" t="s">
        <v>140</v>
      </c>
      <c r="D51" s="1">
        <v>29</v>
      </c>
      <c r="E51" s="1">
        <v>0</v>
      </c>
      <c r="F51" s="1">
        <v>0</v>
      </c>
      <c r="G51" s="1">
        <v>0</v>
      </c>
      <c r="H51" s="1">
        <v>41</v>
      </c>
      <c r="I51" s="1">
        <v>0</v>
      </c>
      <c r="J51" s="1">
        <v>0</v>
      </c>
      <c r="K51" s="1">
        <v>0</v>
      </c>
      <c r="L51" s="1">
        <v>0</v>
      </c>
      <c r="M51" s="1">
        <v>32</v>
      </c>
      <c r="N51" s="1">
        <v>0</v>
      </c>
      <c r="O51" s="1">
        <v>31</v>
      </c>
      <c r="P51" s="1">
        <v>35</v>
      </c>
      <c r="Q51" s="1">
        <v>0</v>
      </c>
      <c r="R51" s="1">
        <v>0</v>
      </c>
      <c r="S51" s="1">
        <v>0</v>
      </c>
      <c r="T51" s="1">
        <v>0</v>
      </c>
      <c r="U51" s="1">
        <v>0</v>
      </c>
      <c r="V51" s="1">
        <v>34</v>
      </c>
      <c r="W51" s="1"/>
      <c r="X51" s="1"/>
      <c r="Y51" s="1"/>
      <c r="Z51" s="1"/>
      <c r="AA51" s="1"/>
      <c r="AB51" s="1"/>
      <c r="AC51">
        <f t="shared" si="11"/>
        <v>202</v>
      </c>
      <c r="AD51">
        <f t="shared" si="12"/>
        <v>19</v>
      </c>
      <c r="AE51">
        <f t="shared" si="13"/>
        <v>13</v>
      </c>
      <c r="AF51">
        <f t="shared" si="9"/>
        <v>6</v>
      </c>
      <c r="AG51">
        <f t="shared" si="10"/>
        <v>33.666666666666664</v>
      </c>
    </row>
    <row r="52" spans="3:33">
      <c r="C52" t="s">
        <v>141</v>
      </c>
      <c r="D52" s="1">
        <v>0</v>
      </c>
      <c r="E52" s="1">
        <v>47</v>
      </c>
      <c r="F52" s="1">
        <v>34</v>
      </c>
      <c r="G52" s="1">
        <v>43</v>
      </c>
      <c r="H52" s="1">
        <v>0</v>
      </c>
      <c r="I52" s="1">
        <v>0</v>
      </c>
      <c r="J52" s="1">
        <v>0</v>
      </c>
      <c r="K52" s="1">
        <v>19</v>
      </c>
      <c r="L52" s="1">
        <v>32</v>
      </c>
      <c r="M52" s="1">
        <v>0</v>
      </c>
      <c r="N52" s="1">
        <v>32</v>
      </c>
      <c r="O52" s="1"/>
      <c r="P52" s="1"/>
      <c r="Q52" s="1"/>
      <c r="R52" s="1"/>
      <c r="S52" s="1"/>
      <c r="T52" s="1"/>
      <c r="U52" s="1"/>
      <c r="V52" s="1"/>
      <c r="W52" s="1"/>
      <c r="X52" s="1"/>
      <c r="Y52" s="1"/>
      <c r="Z52" s="1"/>
      <c r="AA52" s="1"/>
      <c r="AB52" s="1"/>
      <c r="AC52">
        <f t="shared" si="11"/>
        <v>207</v>
      </c>
      <c r="AD52">
        <f t="shared" si="12"/>
        <v>11</v>
      </c>
      <c r="AE52">
        <f t="shared" si="13"/>
        <v>5</v>
      </c>
      <c r="AF52">
        <f t="shared" si="9"/>
        <v>6</v>
      </c>
      <c r="AG52">
        <f t="shared" si="10"/>
        <v>34.5</v>
      </c>
    </row>
    <row r="53" spans="3:33">
      <c r="C53" t="s">
        <v>142</v>
      </c>
      <c r="D53" s="1">
        <v>0</v>
      </c>
      <c r="E53" s="1">
        <v>33</v>
      </c>
      <c r="F53" s="1">
        <v>37</v>
      </c>
      <c r="G53" s="1">
        <v>47</v>
      </c>
      <c r="H53" s="1">
        <v>0</v>
      </c>
      <c r="I53" s="1">
        <v>0</v>
      </c>
      <c r="J53" s="1">
        <v>0</v>
      </c>
      <c r="K53" s="1">
        <v>28</v>
      </c>
      <c r="L53" s="1">
        <v>0</v>
      </c>
      <c r="M53" s="1">
        <v>32</v>
      </c>
      <c r="N53" s="1">
        <v>39</v>
      </c>
      <c r="O53" s="1"/>
      <c r="P53" s="1"/>
      <c r="Q53" s="1"/>
      <c r="R53" s="1"/>
      <c r="S53" s="1"/>
      <c r="T53" s="1"/>
      <c r="U53" s="1"/>
      <c r="V53" s="1"/>
      <c r="W53" s="1"/>
      <c r="X53" s="1"/>
      <c r="Y53" s="1"/>
      <c r="Z53" s="1"/>
      <c r="AA53" s="1"/>
      <c r="AB53" s="1"/>
      <c r="AC53">
        <f t="shared" si="11"/>
        <v>216</v>
      </c>
      <c r="AD53">
        <f t="shared" si="12"/>
        <v>11</v>
      </c>
      <c r="AE53">
        <f t="shared" si="13"/>
        <v>5</v>
      </c>
      <c r="AF53">
        <f t="shared" si="9"/>
        <v>6</v>
      </c>
      <c r="AG53">
        <f t="shared" si="10"/>
        <v>36</v>
      </c>
    </row>
    <row r="54" spans="3:33">
      <c r="C54" t="s">
        <v>143</v>
      </c>
      <c r="D54" s="1">
        <v>40</v>
      </c>
      <c r="E54" s="1">
        <v>65</v>
      </c>
      <c r="F54" s="1">
        <v>36</v>
      </c>
      <c r="G54" s="1">
        <v>30</v>
      </c>
      <c r="H54" s="1">
        <v>34</v>
      </c>
      <c r="I54" s="1"/>
      <c r="J54" s="1"/>
      <c r="K54" s="1"/>
      <c r="L54" s="1"/>
      <c r="M54" s="1"/>
      <c r="N54" s="1"/>
      <c r="O54" s="1"/>
      <c r="P54" s="1"/>
      <c r="Q54" s="1"/>
      <c r="R54" s="1"/>
      <c r="S54" s="1"/>
      <c r="T54" s="1"/>
      <c r="U54" s="1"/>
      <c r="V54" s="1"/>
      <c r="W54" s="1"/>
      <c r="X54" s="1"/>
      <c r="Y54" s="1"/>
      <c r="Z54" s="1"/>
      <c r="AA54" s="1"/>
      <c r="AB54" s="1"/>
      <c r="AC54">
        <f t="shared" si="11"/>
        <v>205</v>
      </c>
      <c r="AD54">
        <f t="shared" si="12"/>
        <v>5</v>
      </c>
      <c r="AE54">
        <f t="shared" si="13"/>
        <v>0</v>
      </c>
      <c r="AF54">
        <f t="shared" si="9"/>
        <v>5</v>
      </c>
      <c r="AG54">
        <f t="shared" si="10"/>
        <v>41</v>
      </c>
    </row>
    <row r="55" spans="3:33">
      <c r="C55" t="s">
        <v>144</v>
      </c>
      <c r="D55" s="1">
        <v>31</v>
      </c>
      <c r="E55" s="1">
        <v>44</v>
      </c>
      <c r="F55" s="1">
        <v>0</v>
      </c>
      <c r="G55" s="1">
        <v>0</v>
      </c>
      <c r="H55" s="1">
        <v>33</v>
      </c>
      <c r="I55" s="1">
        <v>15</v>
      </c>
      <c r="J55" s="1">
        <v>30</v>
      </c>
      <c r="K55" s="1">
        <v>42</v>
      </c>
      <c r="L55" s="1">
        <v>34</v>
      </c>
      <c r="M55" s="1"/>
      <c r="N55" s="1"/>
      <c r="O55" s="1"/>
      <c r="P55" s="1"/>
      <c r="Q55" s="1"/>
      <c r="R55" s="1"/>
      <c r="S55" s="1"/>
      <c r="T55" s="1"/>
      <c r="U55" s="1"/>
      <c r="V55" s="1"/>
      <c r="W55" s="1"/>
      <c r="X55" s="1"/>
      <c r="Y55" s="1"/>
      <c r="Z55" s="1"/>
      <c r="AA55" s="1"/>
      <c r="AB55" s="1"/>
      <c r="AC55">
        <f t="shared" si="11"/>
        <v>229</v>
      </c>
      <c r="AD55">
        <f t="shared" si="12"/>
        <v>9</v>
      </c>
      <c r="AE55">
        <f t="shared" si="13"/>
        <v>2</v>
      </c>
      <c r="AF55">
        <f t="shared" si="9"/>
        <v>7</v>
      </c>
      <c r="AG55">
        <f t="shared" si="10"/>
        <v>32.714285714285715</v>
      </c>
    </row>
    <row r="56" spans="3:33">
      <c r="C56" t="s">
        <v>145</v>
      </c>
      <c r="D56" s="1">
        <v>0</v>
      </c>
      <c r="E56" s="1">
        <v>37</v>
      </c>
      <c r="F56" s="1">
        <v>41</v>
      </c>
      <c r="G56" s="1">
        <v>0</v>
      </c>
      <c r="H56" s="1">
        <v>0</v>
      </c>
      <c r="I56" s="1">
        <v>0</v>
      </c>
      <c r="J56" s="1">
        <v>38</v>
      </c>
      <c r="K56" s="1">
        <v>0</v>
      </c>
      <c r="L56" s="1">
        <v>0</v>
      </c>
      <c r="M56" s="1">
        <v>0</v>
      </c>
      <c r="N56" s="1">
        <v>37</v>
      </c>
      <c r="O56" s="1">
        <v>41</v>
      </c>
      <c r="P56" s="1">
        <v>24</v>
      </c>
      <c r="Q56" s="1"/>
      <c r="R56" s="1"/>
      <c r="S56" s="1"/>
      <c r="T56" s="1"/>
      <c r="U56" s="1"/>
      <c r="V56" s="1"/>
      <c r="W56" s="1"/>
      <c r="X56" s="1"/>
      <c r="Y56" s="1"/>
      <c r="Z56" s="1"/>
      <c r="AA56" s="1"/>
      <c r="AB56" s="1"/>
      <c r="AC56">
        <f t="shared" si="11"/>
        <v>218</v>
      </c>
      <c r="AD56">
        <f t="shared" si="12"/>
        <v>13</v>
      </c>
      <c r="AE56">
        <f t="shared" si="13"/>
        <v>7</v>
      </c>
      <c r="AF56">
        <f t="shared" si="9"/>
        <v>6</v>
      </c>
      <c r="AG56">
        <f t="shared" si="10"/>
        <v>36.333333333333336</v>
      </c>
    </row>
    <row r="57" spans="3:33">
      <c r="C57" t="s">
        <v>146</v>
      </c>
      <c r="D57" s="1">
        <v>31</v>
      </c>
      <c r="E57" s="1">
        <v>23</v>
      </c>
      <c r="F57" s="1">
        <v>34</v>
      </c>
      <c r="G57" s="1">
        <v>0</v>
      </c>
      <c r="H57" s="1">
        <v>35</v>
      </c>
      <c r="I57" s="1">
        <v>36</v>
      </c>
      <c r="J57" s="1">
        <v>0</v>
      </c>
      <c r="K57" s="1">
        <v>0</v>
      </c>
      <c r="L57" s="1">
        <v>0</v>
      </c>
      <c r="M57" s="1">
        <v>0</v>
      </c>
      <c r="N57" s="1">
        <v>35</v>
      </c>
      <c r="O57" s="1">
        <v>37</v>
      </c>
      <c r="P57" s="1"/>
      <c r="Q57" s="1"/>
      <c r="R57" s="1"/>
      <c r="S57" s="1"/>
      <c r="T57" s="1"/>
      <c r="U57" s="1"/>
      <c r="V57" s="1"/>
      <c r="W57" s="1"/>
      <c r="X57" s="1"/>
      <c r="Y57" s="1"/>
      <c r="Z57" s="1"/>
      <c r="AA57" s="1"/>
      <c r="AB57" s="1"/>
      <c r="AC57">
        <f t="shared" si="11"/>
        <v>231</v>
      </c>
      <c r="AD57">
        <f t="shared" si="12"/>
        <v>12</v>
      </c>
      <c r="AE57">
        <f t="shared" si="13"/>
        <v>5</v>
      </c>
      <c r="AF57">
        <f t="shared" si="9"/>
        <v>7</v>
      </c>
      <c r="AG57">
        <f t="shared" si="10"/>
        <v>33</v>
      </c>
    </row>
    <row r="58" spans="3:33">
      <c r="C58" t="s">
        <v>147</v>
      </c>
      <c r="D58" s="1">
        <v>41</v>
      </c>
      <c r="E58" s="1">
        <v>50</v>
      </c>
      <c r="F58" s="1">
        <v>0</v>
      </c>
      <c r="G58" s="1">
        <v>36</v>
      </c>
      <c r="H58" s="1">
        <v>0</v>
      </c>
      <c r="I58" s="1">
        <v>0</v>
      </c>
      <c r="J58" s="1">
        <v>0</v>
      </c>
      <c r="K58" s="1">
        <v>35</v>
      </c>
      <c r="L58" s="1">
        <v>32</v>
      </c>
      <c r="M58" s="1">
        <v>27</v>
      </c>
      <c r="N58" s="1"/>
      <c r="O58" s="1"/>
      <c r="P58" s="1"/>
      <c r="Q58" s="1"/>
      <c r="R58" s="1"/>
      <c r="S58" s="1"/>
      <c r="T58" s="1"/>
      <c r="U58" s="1"/>
      <c r="V58" s="1"/>
      <c r="W58" s="1"/>
      <c r="X58" s="1"/>
      <c r="Y58" s="1"/>
      <c r="Z58" s="1"/>
      <c r="AA58" s="1"/>
      <c r="AB58" s="1"/>
      <c r="AC58">
        <f t="shared" si="11"/>
        <v>221</v>
      </c>
      <c r="AD58">
        <f t="shared" si="12"/>
        <v>10</v>
      </c>
      <c r="AE58">
        <f t="shared" si="13"/>
        <v>4</v>
      </c>
      <c r="AF58">
        <f t="shared" si="9"/>
        <v>6</v>
      </c>
      <c r="AG58">
        <f t="shared" si="10"/>
        <v>36.833333333333336</v>
      </c>
    </row>
    <row r="59" spans="3:33">
      <c r="C59" t="s">
        <v>148</v>
      </c>
      <c r="D59" s="1">
        <v>30</v>
      </c>
      <c r="E59" s="1">
        <v>33</v>
      </c>
      <c r="F59" s="1">
        <v>0</v>
      </c>
      <c r="G59" s="1">
        <v>34</v>
      </c>
      <c r="H59" s="1">
        <v>34</v>
      </c>
      <c r="I59" s="1">
        <v>46</v>
      </c>
      <c r="J59" s="1">
        <v>0</v>
      </c>
      <c r="K59" s="1">
        <v>0</v>
      </c>
      <c r="L59" s="1">
        <v>11</v>
      </c>
      <c r="M59" s="1">
        <v>11</v>
      </c>
      <c r="N59" s="1">
        <v>0</v>
      </c>
      <c r="O59" s="1">
        <v>36</v>
      </c>
      <c r="P59" s="1"/>
      <c r="Q59" s="1"/>
      <c r="R59" s="1"/>
      <c r="S59" s="1"/>
      <c r="T59" s="1"/>
      <c r="U59" s="1"/>
      <c r="V59" s="1"/>
      <c r="W59" s="1"/>
      <c r="X59" s="1"/>
      <c r="Y59" s="1"/>
      <c r="Z59" s="1"/>
      <c r="AA59" s="1"/>
      <c r="AB59" s="1"/>
      <c r="AC59">
        <f t="shared" si="11"/>
        <v>235</v>
      </c>
      <c r="AD59">
        <f t="shared" si="12"/>
        <v>12</v>
      </c>
      <c r="AE59">
        <f t="shared" si="13"/>
        <v>4</v>
      </c>
      <c r="AF59">
        <f t="shared" si="9"/>
        <v>8</v>
      </c>
      <c r="AG59">
        <f t="shared" si="10"/>
        <v>29.375</v>
      </c>
    </row>
    <row r="60" spans="3:33">
      <c r="C60" t="s">
        <v>149</v>
      </c>
      <c r="D60" s="1">
        <v>0</v>
      </c>
      <c r="E60" s="1">
        <v>35</v>
      </c>
      <c r="F60" s="1">
        <v>37</v>
      </c>
      <c r="G60" s="1">
        <v>0</v>
      </c>
      <c r="H60" s="1">
        <v>0</v>
      </c>
      <c r="I60" s="1">
        <v>0</v>
      </c>
      <c r="J60" s="1">
        <v>24</v>
      </c>
      <c r="K60" s="1">
        <v>43</v>
      </c>
      <c r="L60" s="1">
        <v>46</v>
      </c>
      <c r="M60" s="1">
        <v>37</v>
      </c>
      <c r="N60" s="1"/>
      <c r="O60" s="1"/>
      <c r="P60" s="1"/>
      <c r="Q60" s="1"/>
      <c r="R60" s="1"/>
      <c r="S60" s="1"/>
      <c r="T60" s="1"/>
      <c r="U60" s="1"/>
      <c r="V60" s="1"/>
      <c r="W60" s="1"/>
      <c r="X60" s="1"/>
      <c r="Y60" s="1"/>
      <c r="Z60" s="1"/>
      <c r="AA60" s="1"/>
      <c r="AB60" s="1"/>
      <c r="AC60">
        <f t="shared" si="11"/>
        <v>222</v>
      </c>
      <c r="AD60">
        <f t="shared" si="12"/>
        <v>10</v>
      </c>
      <c r="AE60">
        <f t="shared" si="13"/>
        <v>4</v>
      </c>
      <c r="AF60">
        <f t="shared" si="9"/>
        <v>6</v>
      </c>
      <c r="AG60">
        <f t="shared" si="10"/>
        <v>37</v>
      </c>
    </row>
    <row r="61" spans="3:33">
      <c r="C61" t="s">
        <v>150</v>
      </c>
      <c r="D61" s="1">
        <v>0</v>
      </c>
      <c r="E61" s="1">
        <v>0</v>
      </c>
      <c r="F61" s="1">
        <v>34</v>
      </c>
      <c r="G61" s="1">
        <v>33</v>
      </c>
      <c r="H61" s="1">
        <v>0</v>
      </c>
      <c r="I61" s="1">
        <v>0</v>
      </c>
      <c r="J61" s="1">
        <v>31</v>
      </c>
      <c r="K61" s="1">
        <v>43</v>
      </c>
      <c r="L61" s="1">
        <v>0</v>
      </c>
      <c r="M61" s="1">
        <v>35</v>
      </c>
      <c r="N61" s="1">
        <v>0</v>
      </c>
      <c r="O61" s="1">
        <v>33</v>
      </c>
      <c r="P61" s="1"/>
      <c r="Q61" s="1"/>
      <c r="R61" s="1"/>
      <c r="S61" s="1"/>
      <c r="T61" s="1"/>
      <c r="U61" s="1"/>
      <c r="V61" s="1"/>
      <c r="W61" s="1"/>
      <c r="X61" s="1"/>
      <c r="Y61" s="1"/>
      <c r="Z61" s="1"/>
      <c r="AA61" s="1"/>
      <c r="AB61" s="1"/>
      <c r="AC61">
        <f t="shared" si="11"/>
        <v>209</v>
      </c>
      <c r="AD61">
        <f t="shared" si="12"/>
        <v>12</v>
      </c>
      <c r="AE61">
        <f t="shared" si="13"/>
        <v>6</v>
      </c>
      <c r="AF61">
        <f t="shared" si="9"/>
        <v>6</v>
      </c>
      <c r="AG61">
        <f t="shared" si="10"/>
        <v>34.833333333333336</v>
      </c>
    </row>
    <row r="62" spans="3:33">
      <c r="C62" t="s">
        <v>151</v>
      </c>
      <c r="D62" s="1">
        <v>35</v>
      </c>
      <c r="E62" s="1">
        <v>33</v>
      </c>
      <c r="F62" s="1">
        <v>0</v>
      </c>
      <c r="G62" s="1">
        <v>32</v>
      </c>
      <c r="H62" s="1">
        <v>32</v>
      </c>
      <c r="I62" s="1">
        <v>49</v>
      </c>
      <c r="J62" s="1">
        <v>35</v>
      </c>
      <c r="K62" s="1"/>
      <c r="L62" s="1"/>
      <c r="M62" s="1"/>
      <c r="N62" s="1"/>
      <c r="O62" s="1"/>
      <c r="P62" s="1"/>
      <c r="Q62" s="1"/>
      <c r="R62" s="1"/>
      <c r="S62" s="1"/>
      <c r="T62" s="1"/>
      <c r="U62" s="1"/>
      <c r="V62" s="1"/>
      <c r="W62" s="1"/>
      <c r="X62" s="1"/>
      <c r="Y62" s="1"/>
      <c r="Z62" s="1"/>
      <c r="AA62" s="1"/>
      <c r="AB62" s="1"/>
      <c r="AC62">
        <f t="shared" si="11"/>
        <v>216</v>
      </c>
      <c r="AD62">
        <f t="shared" si="12"/>
        <v>7</v>
      </c>
      <c r="AE62">
        <f t="shared" si="13"/>
        <v>1</v>
      </c>
      <c r="AF62">
        <f t="shared" si="9"/>
        <v>6</v>
      </c>
      <c r="AG62">
        <f t="shared" si="10"/>
        <v>36</v>
      </c>
    </row>
    <row r="63" spans="3:33">
      <c r="C63" t="s">
        <v>152</v>
      </c>
      <c r="D63" s="1">
        <v>36</v>
      </c>
      <c r="E63" s="1">
        <v>0</v>
      </c>
      <c r="F63" s="1">
        <v>36</v>
      </c>
      <c r="G63" s="1">
        <v>0</v>
      </c>
      <c r="H63" s="1">
        <v>50</v>
      </c>
      <c r="I63" s="1">
        <v>45</v>
      </c>
      <c r="J63" s="1">
        <v>40</v>
      </c>
      <c r="K63" s="1"/>
      <c r="L63" s="1"/>
      <c r="M63" s="1"/>
      <c r="N63" s="1"/>
      <c r="O63" s="1"/>
      <c r="P63" s="1"/>
      <c r="Q63" s="1"/>
      <c r="R63" s="1"/>
      <c r="S63" s="1"/>
      <c r="T63" s="1"/>
      <c r="U63" s="1"/>
      <c r="V63" s="1"/>
      <c r="W63" s="1"/>
      <c r="X63" s="1"/>
      <c r="Y63" s="1"/>
      <c r="Z63" s="1"/>
      <c r="AA63" s="1"/>
      <c r="AB63" s="1"/>
      <c r="AC63">
        <f t="shared" si="11"/>
        <v>207</v>
      </c>
      <c r="AD63">
        <f t="shared" si="12"/>
        <v>7</v>
      </c>
      <c r="AE63">
        <f t="shared" si="13"/>
        <v>2</v>
      </c>
      <c r="AF63">
        <f t="shared" si="9"/>
        <v>5</v>
      </c>
      <c r="AG63">
        <f t="shared" si="10"/>
        <v>41.4</v>
      </c>
    </row>
    <row r="64" spans="3:33">
      <c r="C64" t="s">
        <v>153</v>
      </c>
      <c r="D64" s="1">
        <v>0</v>
      </c>
      <c r="E64" s="1">
        <v>44</v>
      </c>
      <c r="F64" s="1">
        <v>0</v>
      </c>
      <c r="G64" s="1">
        <v>27</v>
      </c>
      <c r="H64" s="1">
        <v>0</v>
      </c>
      <c r="I64" s="1">
        <v>29</v>
      </c>
      <c r="J64" s="1">
        <v>0</v>
      </c>
      <c r="K64" s="1">
        <v>34</v>
      </c>
      <c r="L64" s="1">
        <v>0</v>
      </c>
      <c r="M64" s="1">
        <v>36</v>
      </c>
      <c r="N64" s="1">
        <v>33</v>
      </c>
      <c r="O64" s="1"/>
      <c r="P64" s="1"/>
      <c r="Q64" s="1"/>
      <c r="R64" s="1"/>
      <c r="S64" s="1"/>
      <c r="T64" s="1"/>
      <c r="U64" s="1"/>
      <c r="V64" s="1"/>
      <c r="W64" s="1"/>
      <c r="X64" s="1"/>
      <c r="Y64" s="1"/>
      <c r="Z64" s="1"/>
      <c r="AA64" s="1"/>
      <c r="AB64" s="1"/>
      <c r="AC64">
        <f t="shared" si="11"/>
        <v>203</v>
      </c>
      <c r="AD64">
        <f t="shared" si="12"/>
        <v>11</v>
      </c>
      <c r="AE64">
        <f t="shared" si="13"/>
        <v>5</v>
      </c>
      <c r="AF64">
        <f t="shared" si="9"/>
        <v>6</v>
      </c>
      <c r="AG64">
        <f t="shared" si="10"/>
        <v>33.833333333333336</v>
      </c>
    </row>
    <row r="65" spans="3:33">
      <c r="C65" t="s">
        <v>154</v>
      </c>
      <c r="D65" s="1">
        <v>0</v>
      </c>
      <c r="E65" s="1">
        <v>0</v>
      </c>
      <c r="F65" s="1">
        <v>0</v>
      </c>
      <c r="G65" s="1">
        <v>40</v>
      </c>
      <c r="H65" s="1">
        <v>45</v>
      </c>
      <c r="I65" s="1">
        <v>28</v>
      </c>
      <c r="J65" s="1">
        <v>0</v>
      </c>
      <c r="K65" s="1">
        <v>0</v>
      </c>
      <c r="L65" s="1">
        <v>27</v>
      </c>
      <c r="M65" s="1">
        <v>0</v>
      </c>
      <c r="N65" s="1">
        <v>25</v>
      </c>
      <c r="O65" s="1">
        <v>51</v>
      </c>
      <c r="P65" s="1"/>
      <c r="Q65" s="1"/>
      <c r="R65" s="1"/>
      <c r="S65" s="1"/>
      <c r="T65" s="1"/>
      <c r="U65" s="1"/>
      <c r="V65" s="1"/>
      <c r="W65" s="1"/>
      <c r="X65" s="1"/>
      <c r="Y65" s="1"/>
      <c r="Z65" s="1"/>
      <c r="AA65" s="1"/>
      <c r="AB65" s="1"/>
      <c r="AC65">
        <f t="shared" si="11"/>
        <v>216</v>
      </c>
      <c r="AD65">
        <f t="shared" si="12"/>
        <v>12</v>
      </c>
      <c r="AE65">
        <f t="shared" si="13"/>
        <v>6</v>
      </c>
      <c r="AF65">
        <f t="shared" si="9"/>
        <v>6</v>
      </c>
      <c r="AG65">
        <f t="shared" si="10"/>
        <v>36</v>
      </c>
    </row>
    <row r="66" spans="3:33">
      <c r="C66" t="s">
        <v>155</v>
      </c>
      <c r="D66" s="1">
        <v>28</v>
      </c>
      <c r="E66" s="1">
        <v>33</v>
      </c>
      <c r="F66" s="1">
        <v>48</v>
      </c>
      <c r="G66" s="1">
        <v>0</v>
      </c>
      <c r="H66" s="1">
        <v>0</v>
      </c>
      <c r="I66" s="1">
        <v>31</v>
      </c>
      <c r="J66" s="1">
        <v>32</v>
      </c>
      <c r="K66" s="1">
        <v>0</v>
      </c>
      <c r="L66" s="1">
        <v>0</v>
      </c>
      <c r="M66" s="1">
        <v>0</v>
      </c>
      <c r="N66" s="1">
        <v>46</v>
      </c>
      <c r="O66" s="1"/>
      <c r="P66" s="1"/>
      <c r="Q66" s="1"/>
      <c r="R66" s="1"/>
      <c r="S66" s="1"/>
      <c r="T66" s="1"/>
      <c r="U66" s="1"/>
      <c r="V66" s="1"/>
      <c r="W66" s="1"/>
      <c r="X66" s="1"/>
      <c r="Y66" s="1"/>
      <c r="Z66" s="1"/>
      <c r="AA66" s="1"/>
      <c r="AB66" s="1"/>
      <c r="AC66">
        <f t="shared" si="11"/>
        <v>218</v>
      </c>
      <c r="AD66">
        <f t="shared" si="12"/>
        <v>11</v>
      </c>
      <c r="AE66">
        <f t="shared" si="13"/>
        <v>5</v>
      </c>
      <c r="AF66">
        <f t="shared" si="9"/>
        <v>6</v>
      </c>
      <c r="AG66">
        <f t="shared" si="10"/>
        <v>36.333333333333336</v>
      </c>
    </row>
    <row r="67" spans="3:33">
      <c r="C67" t="s">
        <v>156</v>
      </c>
      <c r="D67" s="1">
        <v>32</v>
      </c>
      <c r="E67" s="1">
        <v>38</v>
      </c>
      <c r="F67" s="1">
        <v>35</v>
      </c>
      <c r="G67" s="1">
        <v>36</v>
      </c>
      <c r="H67" s="1">
        <v>35</v>
      </c>
      <c r="I67" s="1">
        <v>0</v>
      </c>
      <c r="J67" s="1">
        <v>42</v>
      </c>
      <c r="K67" s="1"/>
      <c r="L67" s="1"/>
      <c r="M67" s="1"/>
      <c r="N67" s="1"/>
      <c r="O67" s="1"/>
      <c r="P67" s="1"/>
      <c r="Q67" s="1"/>
      <c r="R67" s="1"/>
      <c r="S67" s="1"/>
      <c r="T67" s="1"/>
      <c r="U67" s="1"/>
      <c r="V67" s="1"/>
      <c r="W67" s="1"/>
      <c r="X67" s="1"/>
      <c r="Y67" s="1"/>
      <c r="Z67" s="1"/>
      <c r="AA67" s="1"/>
      <c r="AB67" s="1"/>
      <c r="AC67">
        <f t="shared" si="11"/>
        <v>218</v>
      </c>
      <c r="AD67">
        <f t="shared" si="12"/>
        <v>7</v>
      </c>
      <c r="AE67">
        <f t="shared" si="13"/>
        <v>1</v>
      </c>
      <c r="AF67">
        <f t="shared" si="9"/>
        <v>6</v>
      </c>
      <c r="AG67">
        <f t="shared" si="10"/>
        <v>36.333333333333336</v>
      </c>
    </row>
    <row r="68" spans="3:33">
      <c r="C68" t="s">
        <v>157</v>
      </c>
      <c r="D68" s="1">
        <v>0</v>
      </c>
      <c r="E68" s="1">
        <v>28</v>
      </c>
      <c r="F68" s="1">
        <v>0</v>
      </c>
      <c r="G68" s="1">
        <v>0</v>
      </c>
      <c r="H68" s="1">
        <v>29</v>
      </c>
      <c r="I68" s="1">
        <v>0</v>
      </c>
      <c r="J68" s="1">
        <v>37</v>
      </c>
      <c r="K68" s="1">
        <v>34</v>
      </c>
      <c r="L68" s="1">
        <v>33</v>
      </c>
      <c r="M68" s="1">
        <v>73</v>
      </c>
      <c r="N68" s="1"/>
      <c r="O68" s="1"/>
      <c r="P68" s="1"/>
      <c r="Q68" s="1"/>
      <c r="R68" s="1"/>
      <c r="S68" s="1"/>
      <c r="T68" s="1"/>
      <c r="U68" s="1"/>
      <c r="V68" s="1"/>
      <c r="W68" s="1"/>
      <c r="X68" s="1"/>
      <c r="Y68" s="1"/>
      <c r="Z68" s="1"/>
      <c r="AA68" s="1"/>
      <c r="AB68" s="1"/>
      <c r="AC68">
        <f t="shared" si="11"/>
        <v>234</v>
      </c>
      <c r="AD68">
        <f t="shared" si="12"/>
        <v>10</v>
      </c>
      <c r="AE68">
        <f t="shared" si="13"/>
        <v>4</v>
      </c>
      <c r="AF68">
        <f t="shared" si="9"/>
        <v>6</v>
      </c>
      <c r="AG68">
        <f t="shared" si="10"/>
        <v>39</v>
      </c>
    </row>
    <row r="69" spans="3:33">
      <c r="C69" t="s">
        <v>158</v>
      </c>
      <c r="D69" s="1">
        <v>0</v>
      </c>
      <c r="E69" s="1">
        <v>0</v>
      </c>
      <c r="F69" s="1">
        <v>39</v>
      </c>
      <c r="G69" s="1">
        <v>41</v>
      </c>
      <c r="H69" s="1">
        <v>0</v>
      </c>
      <c r="I69" s="1">
        <v>36</v>
      </c>
      <c r="J69" s="1">
        <v>0</v>
      </c>
      <c r="K69" s="1">
        <v>31</v>
      </c>
      <c r="L69" s="1">
        <v>0</v>
      </c>
      <c r="M69" s="1">
        <v>33</v>
      </c>
      <c r="N69" s="1">
        <v>0</v>
      </c>
      <c r="O69" s="1">
        <v>28</v>
      </c>
      <c r="P69" s="1"/>
      <c r="Q69" s="1"/>
      <c r="R69" s="1"/>
      <c r="S69" s="1"/>
      <c r="T69" s="1"/>
      <c r="U69" s="1"/>
      <c r="V69" s="1"/>
      <c r="W69" s="1"/>
      <c r="X69" s="1"/>
      <c r="Y69" s="1"/>
      <c r="Z69" s="1"/>
      <c r="AA69" s="1"/>
      <c r="AB69" s="1"/>
      <c r="AC69">
        <f t="shared" si="11"/>
        <v>208</v>
      </c>
      <c r="AD69">
        <f t="shared" si="12"/>
        <v>12</v>
      </c>
      <c r="AE69">
        <f t="shared" si="13"/>
        <v>6</v>
      </c>
      <c r="AF69">
        <f t="shared" si="9"/>
        <v>6</v>
      </c>
      <c r="AG69">
        <f t="shared" si="10"/>
        <v>34.666666666666664</v>
      </c>
    </row>
    <row r="70" spans="3:33">
      <c r="C70" t="s">
        <v>159</v>
      </c>
      <c r="D70" s="1">
        <v>48</v>
      </c>
      <c r="E70" s="1">
        <v>32</v>
      </c>
      <c r="F70" s="1">
        <v>43</v>
      </c>
      <c r="G70" s="1">
        <v>0</v>
      </c>
      <c r="H70" s="1">
        <v>0</v>
      </c>
      <c r="I70" s="1">
        <v>0</v>
      </c>
      <c r="J70" s="1">
        <v>0</v>
      </c>
      <c r="K70" s="1">
        <v>40</v>
      </c>
      <c r="L70" s="1">
        <v>37</v>
      </c>
      <c r="M70" s="1"/>
      <c r="N70" s="1"/>
      <c r="O70" s="1"/>
      <c r="P70" s="1"/>
      <c r="Q70" s="1"/>
      <c r="R70" s="1"/>
      <c r="S70" s="1"/>
      <c r="T70" s="1"/>
      <c r="U70" s="1"/>
      <c r="V70" s="1"/>
      <c r="W70" s="1"/>
      <c r="X70" s="1"/>
      <c r="Y70" s="1"/>
      <c r="Z70" s="1"/>
      <c r="AA70" s="1"/>
      <c r="AB70" s="1"/>
      <c r="AC70">
        <f t="shared" si="11"/>
        <v>200</v>
      </c>
      <c r="AD70">
        <f t="shared" si="12"/>
        <v>9</v>
      </c>
      <c r="AE70">
        <f t="shared" si="13"/>
        <v>4</v>
      </c>
      <c r="AF70">
        <f t="shared" si="9"/>
        <v>5</v>
      </c>
      <c r="AG70">
        <f t="shared" si="10"/>
        <v>40</v>
      </c>
    </row>
    <row r="71" spans="3:33">
      <c r="C71" t="s">
        <v>160</v>
      </c>
      <c r="D71" s="1">
        <v>25</v>
      </c>
      <c r="E71" s="1">
        <v>0</v>
      </c>
      <c r="F71" s="1">
        <v>38</v>
      </c>
      <c r="G71" s="1">
        <v>0</v>
      </c>
      <c r="H71" s="1">
        <v>38</v>
      </c>
      <c r="I71" s="1">
        <v>33</v>
      </c>
      <c r="J71" s="1">
        <v>33</v>
      </c>
      <c r="K71" s="1">
        <v>0</v>
      </c>
      <c r="L71" s="1">
        <v>0</v>
      </c>
      <c r="M71" s="1">
        <v>0</v>
      </c>
      <c r="N71" s="1">
        <v>0</v>
      </c>
      <c r="O71" s="1">
        <v>38</v>
      </c>
      <c r="P71" s="1"/>
      <c r="Q71" s="1"/>
      <c r="R71" s="1"/>
      <c r="S71" s="1"/>
      <c r="T71" s="1"/>
      <c r="U71" s="1"/>
      <c r="V71" s="1"/>
      <c r="W71" s="1"/>
      <c r="X71" s="1"/>
      <c r="Y71" s="1"/>
      <c r="Z71" s="1"/>
      <c r="AA71" s="1"/>
      <c r="AB71" s="1"/>
      <c r="AC71">
        <f t="shared" si="11"/>
        <v>205</v>
      </c>
      <c r="AD71">
        <f t="shared" si="12"/>
        <v>12</v>
      </c>
      <c r="AE71">
        <f t="shared" si="13"/>
        <v>6</v>
      </c>
      <c r="AF71">
        <f t="shared" si="9"/>
        <v>6</v>
      </c>
      <c r="AG71">
        <f t="shared" si="10"/>
        <v>34.166666666666664</v>
      </c>
    </row>
    <row r="72" spans="3:33">
      <c r="C72" t="s">
        <v>161</v>
      </c>
      <c r="D72" s="1">
        <v>0</v>
      </c>
      <c r="E72" s="1">
        <v>43</v>
      </c>
      <c r="F72" s="1">
        <v>0</v>
      </c>
      <c r="G72" s="1">
        <v>0</v>
      </c>
      <c r="H72" s="1">
        <v>0</v>
      </c>
      <c r="I72" s="1">
        <v>0</v>
      </c>
      <c r="J72" s="1">
        <v>0</v>
      </c>
      <c r="K72" s="1">
        <v>37</v>
      </c>
      <c r="L72" s="1">
        <v>49</v>
      </c>
      <c r="M72" s="1">
        <v>0</v>
      </c>
      <c r="N72" s="1">
        <v>35</v>
      </c>
      <c r="O72" s="1">
        <v>23</v>
      </c>
      <c r="P72" s="1">
        <v>28</v>
      </c>
      <c r="Q72" s="1"/>
      <c r="R72" s="1"/>
      <c r="S72" s="1"/>
      <c r="T72" s="1"/>
      <c r="U72" s="1"/>
      <c r="V72" s="1"/>
      <c r="W72" s="1"/>
      <c r="X72" s="1"/>
      <c r="Y72" s="1"/>
      <c r="Z72" s="1"/>
      <c r="AA72" s="1"/>
      <c r="AB72" s="1"/>
      <c r="AC72">
        <f t="shared" si="11"/>
        <v>215</v>
      </c>
      <c r="AD72">
        <f t="shared" si="12"/>
        <v>13</v>
      </c>
      <c r="AE72">
        <f t="shared" si="13"/>
        <v>7</v>
      </c>
      <c r="AF72">
        <f t="shared" si="9"/>
        <v>6</v>
      </c>
      <c r="AG72">
        <f t="shared" si="10"/>
        <v>35.833333333333336</v>
      </c>
    </row>
    <row r="73" spans="3:33">
      <c r="C73" t="s">
        <v>162</v>
      </c>
      <c r="D73" s="1">
        <v>0</v>
      </c>
      <c r="E73" s="1">
        <v>0</v>
      </c>
      <c r="F73" s="1">
        <v>31</v>
      </c>
      <c r="G73" s="1">
        <v>29</v>
      </c>
      <c r="H73" s="1">
        <v>0</v>
      </c>
      <c r="I73" s="1">
        <v>0</v>
      </c>
      <c r="J73" s="1">
        <v>0</v>
      </c>
      <c r="K73" s="1">
        <v>34</v>
      </c>
      <c r="L73" s="1">
        <v>34</v>
      </c>
      <c r="M73" s="1">
        <v>38</v>
      </c>
      <c r="N73" s="1">
        <v>0</v>
      </c>
      <c r="O73" s="1">
        <v>0</v>
      </c>
      <c r="P73" s="1">
        <v>0</v>
      </c>
      <c r="Q73" s="1">
        <v>31</v>
      </c>
      <c r="R73" s="1">
        <v>0</v>
      </c>
      <c r="S73" s="1">
        <v>0</v>
      </c>
      <c r="T73" s="1">
        <v>36</v>
      </c>
      <c r="U73" s="1"/>
      <c r="V73" s="1"/>
      <c r="W73" s="1"/>
      <c r="X73" s="1"/>
      <c r="Y73" s="1"/>
      <c r="Z73" s="1"/>
      <c r="AA73" s="1"/>
      <c r="AB73" s="1"/>
      <c r="AC73">
        <f t="shared" si="11"/>
        <v>233</v>
      </c>
      <c r="AD73">
        <f t="shared" si="12"/>
        <v>17</v>
      </c>
      <c r="AE73">
        <f t="shared" si="13"/>
        <v>10</v>
      </c>
      <c r="AF73">
        <f t="shared" si="9"/>
        <v>7</v>
      </c>
      <c r="AG73">
        <f t="shared" si="10"/>
        <v>33.285714285714285</v>
      </c>
    </row>
    <row r="74" spans="3:33">
      <c r="C74" t="s">
        <v>163</v>
      </c>
      <c r="D74" s="1">
        <v>32</v>
      </c>
      <c r="E74" s="1">
        <v>0</v>
      </c>
      <c r="F74" s="1">
        <v>0</v>
      </c>
      <c r="G74" s="1">
        <v>29</v>
      </c>
      <c r="H74" s="1">
        <v>0</v>
      </c>
      <c r="I74" s="1">
        <v>0</v>
      </c>
      <c r="J74" s="1">
        <v>39</v>
      </c>
      <c r="K74" s="1">
        <v>37</v>
      </c>
      <c r="L74" s="1">
        <v>68</v>
      </c>
      <c r="M74" s="1"/>
      <c r="N74" s="1"/>
      <c r="O74" s="1"/>
      <c r="P74" s="1"/>
      <c r="Q74" s="1"/>
      <c r="R74" s="1"/>
      <c r="S74" s="1"/>
      <c r="T74" s="1"/>
      <c r="U74" s="1"/>
      <c r="V74" s="1"/>
      <c r="W74" s="1"/>
      <c r="X74" s="1"/>
      <c r="Y74" s="1"/>
      <c r="Z74" s="1"/>
      <c r="AA74" s="1"/>
      <c r="AB74" s="1"/>
      <c r="AC74">
        <f t="shared" si="11"/>
        <v>205</v>
      </c>
      <c r="AD74">
        <f t="shared" si="12"/>
        <v>9</v>
      </c>
      <c r="AE74">
        <f t="shared" si="13"/>
        <v>4</v>
      </c>
      <c r="AF74">
        <f t="shared" si="9"/>
        <v>5</v>
      </c>
      <c r="AG74">
        <f t="shared" si="10"/>
        <v>41</v>
      </c>
    </row>
    <row r="75" spans="3:33">
      <c r="C75" t="s">
        <v>164</v>
      </c>
      <c r="D75" s="1">
        <v>38</v>
      </c>
      <c r="E75" s="1">
        <v>0</v>
      </c>
      <c r="F75" s="1">
        <v>0</v>
      </c>
      <c r="G75" s="1">
        <v>40</v>
      </c>
      <c r="H75" s="1">
        <v>33</v>
      </c>
      <c r="I75" s="1">
        <v>0</v>
      </c>
      <c r="J75" s="1">
        <v>0</v>
      </c>
      <c r="K75" s="1">
        <v>34</v>
      </c>
      <c r="L75" s="1">
        <v>34</v>
      </c>
      <c r="M75" s="1">
        <v>40</v>
      </c>
      <c r="N75" s="1"/>
      <c r="O75" s="1"/>
      <c r="P75" s="1"/>
      <c r="Q75" s="1"/>
      <c r="R75" s="1"/>
      <c r="S75" s="1"/>
      <c r="T75" s="1"/>
      <c r="U75" s="1"/>
      <c r="V75" s="1"/>
      <c r="W75" s="1"/>
      <c r="X75" s="1"/>
      <c r="Y75" s="1"/>
      <c r="Z75" s="1"/>
      <c r="AA75" s="1"/>
      <c r="AB75" s="1"/>
      <c r="AC75">
        <f t="shared" si="11"/>
        <v>219</v>
      </c>
      <c r="AD75">
        <f t="shared" si="12"/>
        <v>10</v>
      </c>
      <c r="AE75">
        <f t="shared" si="13"/>
        <v>4</v>
      </c>
      <c r="AF75">
        <f t="shared" si="9"/>
        <v>6</v>
      </c>
      <c r="AG75">
        <f t="shared" si="10"/>
        <v>36.5</v>
      </c>
    </row>
    <row r="76" spans="3:33">
      <c r="C76" t="s">
        <v>165</v>
      </c>
      <c r="D76" s="1">
        <v>34</v>
      </c>
      <c r="E76" s="1">
        <v>41</v>
      </c>
      <c r="F76" s="1">
        <v>33</v>
      </c>
      <c r="G76" s="1">
        <v>0</v>
      </c>
      <c r="H76" s="1">
        <v>38</v>
      </c>
      <c r="I76" s="1">
        <v>0</v>
      </c>
      <c r="J76" s="1">
        <v>39</v>
      </c>
      <c r="K76" s="1">
        <v>55</v>
      </c>
      <c r="L76" s="1"/>
      <c r="M76" s="1"/>
      <c r="N76" s="1"/>
      <c r="O76" s="1"/>
      <c r="P76" s="1"/>
      <c r="Q76" s="1"/>
      <c r="R76" s="1"/>
      <c r="S76" s="1"/>
      <c r="T76" s="1"/>
      <c r="U76" s="1"/>
      <c r="V76" s="1"/>
      <c r="W76" s="1"/>
      <c r="X76" s="1"/>
      <c r="Y76" s="1"/>
      <c r="Z76" s="1"/>
      <c r="AA76" s="1"/>
      <c r="AB76" s="1"/>
      <c r="AC76">
        <f t="shared" si="11"/>
        <v>240</v>
      </c>
      <c r="AD76">
        <f t="shared" si="12"/>
        <v>8</v>
      </c>
      <c r="AE76">
        <f t="shared" si="13"/>
        <v>2</v>
      </c>
      <c r="AF76">
        <f t="shared" si="9"/>
        <v>6</v>
      </c>
      <c r="AG76">
        <f t="shared" si="10"/>
        <v>40</v>
      </c>
    </row>
    <row r="77" spans="3:33">
      <c r="C77" t="s">
        <v>166</v>
      </c>
      <c r="D77" s="1">
        <v>36</v>
      </c>
      <c r="E77" s="1">
        <v>0</v>
      </c>
      <c r="F77" s="1">
        <v>0</v>
      </c>
      <c r="G77" s="1">
        <v>0</v>
      </c>
      <c r="H77" s="1">
        <v>47</v>
      </c>
      <c r="I77" s="1">
        <v>35</v>
      </c>
      <c r="J77" s="1">
        <v>32</v>
      </c>
      <c r="K77" s="1">
        <v>0</v>
      </c>
      <c r="L77" s="1">
        <v>0</v>
      </c>
      <c r="M77" s="1">
        <v>0</v>
      </c>
      <c r="N77" s="1">
        <v>0</v>
      </c>
      <c r="O77" s="1">
        <v>31</v>
      </c>
      <c r="P77" s="1">
        <v>0</v>
      </c>
      <c r="Q77" s="1">
        <v>31</v>
      </c>
      <c r="R77" s="1"/>
      <c r="S77" s="1"/>
      <c r="T77" s="1"/>
      <c r="U77" s="1"/>
      <c r="V77" s="1"/>
      <c r="W77" s="1"/>
      <c r="X77" s="1"/>
      <c r="Y77" s="1"/>
      <c r="Z77" s="1"/>
      <c r="AA77" s="1"/>
      <c r="AB77" s="1"/>
      <c r="AC77">
        <f t="shared" si="11"/>
        <v>212</v>
      </c>
      <c r="AD77">
        <f t="shared" si="12"/>
        <v>14</v>
      </c>
      <c r="AE77">
        <f t="shared" si="13"/>
        <v>8</v>
      </c>
      <c r="AF77">
        <f t="shared" si="9"/>
        <v>6</v>
      </c>
      <c r="AG77">
        <f t="shared" si="10"/>
        <v>35.333333333333336</v>
      </c>
    </row>
    <row r="78" spans="3:33">
      <c r="C78" t="s">
        <v>167</v>
      </c>
      <c r="D78" s="1">
        <v>24</v>
      </c>
      <c r="E78" s="1">
        <v>36</v>
      </c>
      <c r="F78" s="1">
        <v>41</v>
      </c>
      <c r="G78" s="1">
        <v>35</v>
      </c>
      <c r="H78" s="1">
        <v>43</v>
      </c>
      <c r="I78" s="1">
        <v>34</v>
      </c>
      <c r="J78" s="1"/>
      <c r="K78" s="1"/>
      <c r="L78" s="1"/>
      <c r="M78" s="1"/>
      <c r="N78" s="1"/>
      <c r="O78" s="1"/>
      <c r="P78" s="1"/>
      <c r="Q78" s="1"/>
      <c r="R78" s="1"/>
      <c r="S78" s="1"/>
      <c r="T78" s="1"/>
      <c r="U78" s="1"/>
      <c r="V78" s="1"/>
      <c r="W78" s="1"/>
      <c r="X78" s="1"/>
      <c r="Y78" s="1"/>
      <c r="Z78" s="1"/>
      <c r="AA78" s="1"/>
      <c r="AB78" s="1"/>
      <c r="AC78">
        <f t="shared" si="11"/>
        <v>213</v>
      </c>
      <c r="AD78">
        <f t="shared" si="12"/>
        <v>6</v>
      </c>
      <c r="AE78">
        <f t="shared" si="13"/>
        <v>0</v>
      </c>
      <c r="AF78">
        <f t="shared" si="9"/>
        <v>6</v>
      </c>
      <c r="AG78">
        <f t="shared" si="10"/>
        <v>35.5</v>
      </c>
    </row>
    <row r="79" spans="3:33">
      <c r="C79" t="s">
        <v>168</v>
      </c>
      <c r="D79" s="1">
        <v>38</v>
      </c>
      <c r="E79" s="1">
        <v>0</v>
      </c>
      <c r="F79" s="1">
        <v>0</v>
      </c>
      <c r="G79" s="1">
        <v>0</v>
      </c>
      <c r="H79" s="1">
        <v>28</v>
      </c>
      <c r="I79" s="1">
        <v>0</v>
      </c>
      <c r="J79" s="1">
        <v>0</v>
      </c>
      <c r="K79" s="1">
        <v>40</v>
      </c>
      <c r="L79" s="1">
        <v>36</v>
      </c>
      <c r="M79" s="1">
        <v>0</v>
      </c>
      <c r="N79" s="1">
        <v>0</v>
      </c>
      <c r="O79" s="1">
        <v>34</v>
      </c>
      <c r="P79" s="1">
        <v>38</v>
      </c>
      <c r="Q79" s="1"/>
      <c r="R79" s="1"/>
      <c r="S79" s="1"/>
      <c r="T79" s="1"/>
      <c r="U79" s="1"/>
      <c r="V79" s="1"/>
      <c r="W79" s="1"/>
      <c r="X79" s="1"/>
      <c r="Y79" s="1"/>
      <c r="Z79" s="1"/>
      <c r="AA79" s="1"/>
      <c r="AB79" s="1"/>
      <c r="AC79">
        <f t="shared" si="11"/>
        <v>214</v>
      </c>
      <c r="AD79">
        <f t="shared" si="12"/>
        <v>13</v>
      </c>
      <c r="AE79">
        <f t="shared" si="13"/>
        <v>7</v>
      </c>
      <c r="AF79">
        <f t="shared" si="9"/>
        <v>6</v>
      </c>
      <c r="AG79">
        <f t="shared" si="10"/>
        <v>35.666666666666664</v>
      </c>
    </row>
    <row r="80" spans="3:33">
      <c r="C80" t="s">
        <v>169</v>
      </c>
      <c r="D80" s="1">
        <v>38</v>
      </c>
      <c r="E80" s="1">
        <v>0</v>
      </c>
      <c r="F80" s="1">
        <v>0</v>
      </c>
      <c r="G80" s="1">
        <v>0</v>
      </c>
      <c r="H80" s="1">
        <v>0</v>
      </c>
      <c r="I80" s="1">
        <v>0</v>
      </c>
      <c r="J80" s="1">
        <v>0</v>
      </c>
      <c r="K80" s="1">
        <v>28</v>
      </c>
      <c r="L80" s="1">
        <v>46</v>
      </c>
      <c r="M80" s="1">
        <v>0</v>
      </c>
      <c r="N80" s="1">
        <v>0</v>
      </c>
      <c r="O80" s="1">
        <v>37</v>
      </c>
      <c r="P80" s="1">
        <v>0</v>
      </c>
      <c r="Q80" s="1">
        <v>41</v>
      </c>
      <c r="R80" s="1">
        <v>0</v>
      </c>
      <c r="S80" s="1">
        <v>0</v>
      </c>
      <c r="T80" s="1">
        <v>0</v>
      </c>
      <c r="U80" s="1">
        <v>0</v>
      </c>
      <c r="V80" s="1">
        <v>32</v>
      </c>
      <c r="W80" s="1"/>
      <c r="X80" s="1"/>
      <c r="Y80" s="1"/>
      <c r="Z80" s="1"/>
      <c r="AA80" s="1"/>
      <c r="AB80" s="1"/>
      <c r="AC80">
        <f t="shared" ref="AC80:AC111" si="14">SUM(D80:AB80)</f>
        <v>222</v>
      </c>
      <c r="AD80">
        <f t="shared" ref="AD80:AD115" si="15">COUNT(D80:AB80)</f>
        <v>19</v>
      </c>
      <c r="AE80">
        <f t="shared" ref="AE80:AE115" si="16">COUNTIF(D80:AB80,0)</f>
        <v>13</v>
      </c>
      <c r="AF80">
        <f t="shared" ref="AF80:AF115" si="17">AD80-AE80</f>
        <v>6</v>
      </c>
      <c r="AG80">
        <f t="shared" ref="AG80:AG115" si="18">AC80/AF80</f>
        <v>37</v>
      </c>
    </row>
    <row r="81" spans="3:33">
      <c r="C81" t="s">
        <v>170</v>
      </c>
      <c r="D81" s="1">
        <v>43</v>
      </c>
      <c r="E81" s="1">
        <v>29</v>
      </c>
      <c r="F81" s="1">
        <v>0</v>
      </c>
      <c r="G81" s="1">
        <v>34</v>
      </c>
      <c r="H81" s="1">
        <v>40</v>
      </c>
      <c r="I81" s="1">
        <v>38</v>
      </c>
      <c r="J81" s="1">
        <v>38</v>
      </c>
      <c r="K81" s="1"/>
      <c r="L81" s="1"/>
      <c r="M81" s="1"/>
      <c r="N81" s="1"/>
      <c r="O81" s="1"/>
      <c r="P81" s="1"/>
      <c r="Q81" s="1"/>
      <c r="R81" s="1"/>
      <c r="S81" s="1"/>
      <c r="T81" s="1"/>
      <c r="U81" s="1"/>
      <c r="V81" s="1"/>
      <c r="W81" s="1"/>
      <c r="X81" s="1"/>
      <c r="Y81" s="1"/>
      <c r="Z81" s="1"/>
      <c r="AA81" s="1"/>
      <c r="AB81" s="1"/>
      <c r="AC81">
        <f t="shared" si="14"/>
        <v>222</v>
      </c>
      <c r="AD81">
        <f t="shared" si="15"/>
        <v>7</v>
      </c>
      <c r="AE81">
        <f t="shared" si="16"/>
        <v>1</v>
      </c>
      <c r="AF81">
        <f t="shared" si="17"/>
        <v>6</v>
      </c>
      <c r="AG81">
        <f t="shared" si="18"/>
        <v>37</v>
      </c>
    </row>
    <row r="82" spans="3:33">
      <c r="C82" t="s">
        <v>171</v>
      </c>
      <c r="D82" s="1">
        <v>0</v>
      </c>
      <c r="E82" s="1">
        <v>0</v>
      </c>
      <c r="F82" s="1">
        <v>0</v>
      </c>
      <c r="G82" s="1">
        <v>32</v>
      </c>
      <c r="H82" s="1">
        <v>31</v>
      </c>
      <c r="I82" s="1">
        <v>47</v>
      </c>
      <c r="J82" s="1">
        <v>0</v>
      </c>
      <c r="K82" s="1">
        <v>32</v>
      </c>
      <c r="L82" s="1">
        <v>42</v>
      </c>
      <c r="M82" s="1">
        <v>0</v>
      </c>
      <c r="N82" s="1">
        <v>23</v>
      </c>
      <c r="O82" s="1"/>
      <c r="P82" s="1"/>
      <c r="Q82" s="1"/>
      <c r="R82" s="1"/>
      <c r="S82" s="1"/>
      <c r="T82" s="1"/>
      <c r="U82" s="1"/>
      <c r="V82" s="1"/>
      <c r="W82" s="1"/>
      <c r="X82" s="1"/>
      <c r="Y82" s="1"/>
      <c r="Z82" s="1"/>
      <c r="AA82" s="1"/>
      <c r="AB82" s="1"/>
      <c r="AC82">
        <f t="shared" si="14"/>
        <v>207</v>
      </c>
      <c r="AD82">
        <f t="shared" si="15"/>
        <v>11</v>
      </c>
      <c r="AE82">
        <f t="shared" si="16"/>
        <v>5</v>
      </c>
      <c r="AF82">
        <f t="shared" si="17"/>
        <v>6</v>
      </c>
      <c r="AG82">
        <f t="shared" si="18"/>
        <v>34.5</v>
      </c>
    </row>
    <row r="83" spans="3:33">
      <c r="C83" t="s">
        <v>172</v>
      </c>
      <c r="D83" s="1">
        <v>0</v>
      </c>
      <c r="E83" s="1">
        <v>15</v>
      </c>
      <c r="F83" s="1">
        <v>0</v>
      </c>
      <c r="G83" s="1">
        <v>0</v>
      </c>
      <c r="H83" s="1">
        <v>33</v>
      </c>
      <c r="I83" s="1">
        <v>36</v>
      </c>
      <c r="J83" s="1">
        <v>34</v>
      </c>
      <c r="K83" s="1">
        <v>48</v>
      </c>
      <c r="L83" s="1">
        <v>40</v>
      </c>
      <c r="M83" s="1"/>
      <c r="N83" s="1"/>
      <c r="O83" s="1"/>
      <c r="P83" s="1"/>
      <c r="Q83" s="1"/>
      <c r="R83" s="1"/>
      <c r="S83" s="1"/>
      <c r="T83" s="1"/>
      <c r="U83" s="1"/>
      <c r="V83" s="1"/>
      <c r="W83" s="1"/>
      <c r="X83" s="1"/>
      <c r="Y83" s="1"/>
      <c r="Z83" s="1"/>
      <c r="AA83" s="1"/>
      <c r="AB83" s="1"/>
      <c r="AC83">
        <f t="shared" si="14"/>
        <v>206</v>
      </c>
      <c r="AD83">
        <f t="shared" si="15"/>
        <v>9</v>
      </c>
      <c r="AE83">
        <f t="shared" si="16"/>
        <v>3</v>
      </c>
      <c r="AF83">
        <f t="shared" si="17"/>
        <v>6</v>
      </c>
      <c r="AG83">
        <f t="shared" si="18"/>
        <v>34.333333333333336</v>
      </c>
    </row>
    <row r="84" spans="3:33">
      <c r="C84" t="s">
        <v>173</v>
      </c>
      <c r="D84" s="1">
        <v>0</v>
      </c>
      <c r="E84" s="1">
        <v>41</v>
      </c>
      <c r="F84" s="1">
        <v>0</v>
      </c>
      <c r="G84" s="1">
        <v>31</v>
      </c>
      <c r="H84" s="1">
        <v>0</v>
      </c>
      <c r="I84" s="1">
        <v>0</v>
      </c>
      <c r="J84" s="1">
        <v>0</v>
      </c>
      <c r="K84" s="1">
        <v>37</v>
      </c>
      <c r="L84" s="1">
        <v>0</v>
      </c>
      <c r="M84" s="1">
        <v>28</v>
      </c>
      <c r="N84" s="1">
        <v>0</v>
      </c>
      <c r="O84" s="1">
        <v>0</v>
      </c>
      <c r="P84" s="1">
        <v>0</v>
      </c>
      <c r="Q84" s="1">
        <v>36</v>
      </c>
      <c r="R84" s="1">
        <v>16</v>
      </c>
      <c r="S84" s="1">
        <v>0</v>
      </c>
      <c r="T84" s="1">
        <v>20</v>
      </c>
      <c r="U84" s="1"/>
      <c r="V84" s="1"/>
      <c r="W84" s="1"/>
      <c r="X84" s="1"/>
      <c r="Y84" s="1"/>
      <c r="Z84" s="1"/>
      <c r="AA84" s="1"/>
      <c r="AB84" s="1"/>
      <c r="AC84">
        <f t="shared" si="14"/>
        <v>209</v>
      </c>
      <c r="AD84">
        <f t="shared" si="15"/>
        <v>17</v>
      </c>
      <c r="AE84">
        <f t="shared" si="16"/>
        <v>10</v>
      </c>
      <c r="AF84">
        <f t="shared" si="17"/>
        <v>7</v>
      </c>
      <c r="AG84">
        <f t="shared" si="18"/>
        <v>29.857142857142858</v>
      </c>
    </row>
    <row r="85" spans="3:33">
      <c r="C85" t="s">
        <v>174</v>
      </c>
      <c r="D85" s="1">
        <v>38</v>
      </c>
      <c r="E85" s="1">
        <v>0</v>
      </c>
      <c r="F85" s="1">
        <v>34</v>
      </c>
      <c r="G85" s="1">
        <v>33</v>
      </c>
      <c r="H85" s="1">
        <v>39</v>
      </c>
      <c r="I85" s="1">
        <v>0</v>
      </c>
      <c r="J85" s="1">
        <v>0</v>
      </c>
      <c r="K85" s="1">
        <v>0</v>
      </c>
      <c r="L85" s="1">
        <v>0</v>
      </c>
      <c r="M85" s="1">
        <v>32</v>
      </c>
      <c r="N85" s="1">
        <v>0</v>
      </c>
      <c r="O85" s="1">
        <v>0</v>
      </c>
      <c r="P85" s="1">
        <v>0</v>
      </c>
      <c r="Q85" s="1">
        <v>0</v>
      </c>
      <c r="R85" s="1">
        <v>0</v>
      </c>
      <c r="S85" s="1">
        <v>38</v>
      </c>
      <c r="T85" s="1"/>
      <c r="U85" s="1"/>
      <c r="V85" s="1"/>
      <c r="W85" s="1"/>
      <c r="X85" s="1"/>
      <c r="Y85" s="1"/>
      <c r="Z85" s="1"/>
      <c r="AA85" s="1"/>
      <c r="AB85" s="1"/>
      <c r="AC85">
        <f t="shared" si="14"/>
        <v>214</v>
      </c>
      <c r="AD85">
        <f t="shared" si="15"/>
        <v>16</v>
      </c>
      <c r="AE85">
        <f t="shared" si="16"/>
        <v>10</v>
      </c>
      <c r="AF85">
        <f t="shared" si="17"/>
        <v>6</v>
      </c>
      <c r="AG85">
        <f t="shared" si="18"/>
        <v>35.666666666666664</v>
      </c>
    </row>
    <row r="86" spans="3:33">
      <c r="C86" t="s">
        <v>175</v>
      </c>
      <c r="D86" s="1">
        <v>0</v>
      </c>
      <c r="E86" s="1">
        <v>37</v>
      </c>
      <c r="F86" s="1">
        <v>45</v>
      </c>
      <c r="G86" s="1">
        <v>0</v>
      </c>
      <c r="H86" s="1">
        <v>55</v>
      </c>
      <c r="I86" s="1">
        <v>0</v>
      </c>
      <c r="J86" s="1">
        <v>60</v>
      </c>
      <c r="K86" s="1">
        <v>46</v>
      </c>
      <c r="L86" s="1"/>
      <c r="M86" s="1"/>
      <c r="N86" s="1"/>
      <c r="O86" s="1"/>
      <c r="P86" s="1"/>
      <c r="Q86" s="1"/>
      <c r="R86" s="1"/>
      <c r="S86" s="1"/>
      <c r="T86" s="1"/>
      <c r="U86" s="1"/>
      <c r="V86" s="1"/>
      <c r="W86" s="1"/>
      <c r="X86" s="1"/>
      <c r="Y86" s="1"/>
      <c r="Z86" s="1"/>
      <c r="AA86" s="1"/>
      <c r="AB86" s="1"/>
      <c r="AC86">
        <f t="shared" si="14"/>
        <v>243</v>
      </c>
      <c r="AD86">
        <f t="shared" si="15"/>
        <v>8</v>
      </c>
      <c r="AE86">
        <f t="shared" si="16"/>
        <v>3</v>
      </c>
      <c r="AF86">
        <f t="shared" si="17"/>
        <v>5</v>
      </c>
      <c r="AG86">
        <f t="shared" si="18"/>
        <v>48.6</v>
      </c>
    </row>
    <row r="87" spans="3:33">
      <c r="C87" t="s">
        <v>176</v>
      </c>
      <c r="D87" s="1">
        <v>0</v>
      </c>
      <c r="E87" s="1">
        <v>0</v>
      </c>
      <c r="F87" s="1">
        <v>0</v>
      </c>
      <c r="G87" s="1">
        <v>45</v>
      </c>
      <c r="H87" s="1">
        <v>32</v>
      </c>
      <c r="I87" s="1">
        <v>42</v>
      </c>
      <c r="J87" s="1">
        <v>42</v>
      </c>
      <c r="K87" s="1">
        <v>0</v>
      </c>
      <c r="L87" s="1">
        <v>33</v>
      </c>
      <c r="M87" s="1">
        <v>35</v>
      </c>
      <c r="N87" s="1"/>
      <c r="O87" s="1"/>
      <c r="P87" s="1"/>
      <c r="Q87" s="1"/>
      <c r="R87" s="1"/>
      <c r="S87" s="1"/>
      <c r="T87" s="1"/>
      <c r="U87" s="1"/>
      <c r="V87" s="1"/>
      <c r="W87" s="1"/>
      <c r="X87" s="1"/>
      <c r="Y87" s="1"/>
      <c r="Z87" s="1"/>
      <c r="AA87" s="1"/>
      <c r="AB87" s="1"/>
      <c r="AC87">
        <f t="shared" si="14"/>
        <v>229</v>
      </c>
      <c r="AD87">
        <f t="shared" si="15"/>
        <v>10</v>
      </c>
      <c r="AE87">
        <f t="shared" si="16"/>
        <v>4</v>
      </c>
      <c r="AF87">
        <f t="shared" si="17"/>
        <v>6</v>
      </c>
      <c r="AG87">
        <f t="shared" si="18"/>
        <v>38.166666666666664</v>
      </c>
    </row>
    <row r="88" spans="3:33">
      <c r="C88" t="s">
        <v>177</v>
      </c>
      <c r="D88" s="1">
        <v>31</v>
      </c>
      <c r="E88" s="1">
        <v>42</v>
      </c>
      <c r="F88" s="1">
        <v>0</v>
      </c>
      <c r="G88" s="1">
        <v>0</v>
      </c>
      <c r="H88" s="1">
        <v>0</v>
      </c>
      <c r="I88" s="1">
        <v>44</v>
      </c>
      <c r="J88" s="1">
        <v>35</v>
      </c>
      <c r="K88" s="1">
        <v>0</v>
      </c>
      <c r="L88" s="1">
        <v>38</v>
      </c>
      <c r="M88" s="1">
        <v>0</v>
      </c>
      <c r="N88" s="1">
        <v>0</v>
      </c>
      <c r="O88" s="1">
        <v>37</v>
      </c>
      <c r="P88" s="1"/>
      <c r="Q88" s="1"/>
      <c r="R88" s="1"/>
      <c r="S88" s="1"/>
      <c r="T88" s="1"/>
      <c r="U88" s="1"/>
      <c r="V88" s="1"/>
      <c r="W88" s="1"/>
      <c r="X88" s="1"/>
      <c r="Y88" s="1"/>
      <c r="Z88" s="1"/>
      <c r="AA88" s="1"/>
      <c r="AB88" s="1"/>
      <c r="AC88">
        <f t="shared" si="14"/>
        <v>227</v>
      </c>
      <c r="AD88">
        <f t="shared" si="15"/>
        <v>12</v>
      </c>
      <c r="AE88">
        <f t="shared" si="16"/>
        <v>6</v>
      </c>
      <c r="AF88">
        <f t="shared" si="17"/>
        <v>6</v>
      </c>
      <c r="AG88">
        <f t="shared" si="18"/>
        <v>37.833333333333336</v>
      </c>
    </row>
    <row r="89" spans="3:33">
      <c r="C89" t="s">
        <v>178</v>
      </c>
      <c r="D89" s="1">
        <v>49</v>
      </c>
      <c r="E89" s="1">
        <v>34</v>
      </c>
      <c r="F89" s="1">
        <v>0</v>
      </c>
      <c r="G89" s="1">
        <v>0</v>
      </c>
      <c r="H89" s="1">
        <v>0</v>
      </c>
      <c r="I89" s="1">
        <v>0</v>
      </c>
      <c r="J89" s="1">
        <v>30</v>
      </c>
      <c r="K89" s="1">
        <v>0</v>
      </c>
      <c r="L89" s="1">
        <v>35</v>
      </c>
      <c r="M89" s="1">
        <v>38</v>
      </c>
      <c r="N89" s="1">
        <v>0</v>
      </c>
      <c r="O89" s="1">
        <v>32</v>
      </c>
      <c r="P89" s="1"/>
      <c r="Q89" s="1"/>
      <c r="R89" s="1"/>
      <c r="S89" s="1"/>
      <c r="T89" s="1"/>
      <c r="U89" s="1"/>
      <c r="V89" s="1"/>
      <c r="W89" s="1"/>
      <c r="X89" s="1"/>
      <c r="Y89" s="1"/>
      <c r="Z89" s="1"/>
      <c r="AA89" s="1"/>
      <c r="AB89" s="1"/>
      <c r="AC89">
        <f t="shared" si="14"/>
        <v>218</v>
      </c>
      <c r="AD89">
        <f t="shared" si="15"/>
        <v>12</v>
      </c>
      <c r="AE89">
        <f t="shared" si="16"/>
        <v>6</v>
      </c>
      <c r="AF89">
        <f t="shared" si="17"/>
        <v>6</v>
      </c>
      <c r="AG89">
        <f t="shared" si="18"/>
        <v>36.333333333333336</v>
      </c>
    </row>
    <row r="90" spans="3:33">
      <c r="C90" t="s">
        <v>179</v>
      </c>
      <c r="D90" s="1">
        <v>0</v>
      </c>
      <c r="E90" s="1">
        <v>0</v>
      </c>
      <c r="F90" s="1">
        <v>33</v>
      </c>
      <c r="G90" s="1">
        <v>46</v>
      </c>
      <c r="H90" s="1">
        <v>0</v>
      </c>
      <c r="I90" s="1">
        <v>0</v>
      </c>
      <c r="J90" s="1">
        <v>0</v>
      </c>
      <c r="K90" s="1">
        <v>0</v>
      </c>
      <c r="L90" s="1">
        <v>23</v>
      </c>
      <c r="M90" s="1">
        <v>36</v>
      </c>
      <c r="N90" s="1">
        <v>27</v>
      </c>
      <c r="O90" s="1">
        <v>0</v>
      </c>
      <c r="P90" s="1">
        <v>0</v>
      </c>
      <c r="Q90" s="1">
        <v>0</v>
      </c>
      <c r="R90" s="1">
        <v>0</v>
      </c>
      <c r="S90" s="1">
        <v>0</v>
      </c>
      <c r="T90" s="1">
        <v>0</v>
      </c>
      <c r="U90" s="1">
        <v>0</v>
      </c>
      <c r="V90" s="1">
        <v>0</v>
      </c>
      <c r="W90" s="1">
        <v>0</v>
      </c>
      <c r="X90" s="1">
        <v>37</v>
      </c>
      <c r="Y90" s="1"/>
      <c r="Z90" s="1"/>
      <c r="AA90" s="1"/>
      <c r="AB90" s="1"/>
      <c r="AC90">
        <f t="shared" si="14"/>
        <v>202</v>
      </c>
      <c r="AD90">
        <f t="shared" si="15"/>
        <v>21</v>
      </c>
      <c r="AE90">
        <f t="shared" si="16"/>
        <v>15</v>
      </c>
      <c r="AF90">
        <f t="shared" si="17"/>
        <v>6</v>
      </c>
      <c r="AG90">
        <f t="shared" si="18"/>
        <v>33.666666666666664</v>
      </c>
    </row>
    <row r="91" spans="3:33">
      <c r="C91" t="s">
        <v>180</v>
      </c>
      <c r="D91" s="1">
        <v>0</v>
      </c>
      <c r="E91" s="1">
        <v>31</v>
      </c>
      <c r="F91" s="1">
        <v>0</v>
      </c>
      <c r="G91" s="1">
        <v>0</v>
      </c>
      <c r="H91" s="1">
        <v>0</v>
      </c>
      <c r="I91" s="1">
        <v>48</v>
      </c>
      <c r="J91" s="1">
        <v>29</v>
      </c>
      <c r="K91" s="1">
        <v>39</v>
      </c>
      <c r="L91" s="1">
        <v>0</v>
      </c>
      <c r="M91" s="1">
        <v>29</v>
      </c>
      <c r="N91" s="1">
        <v>0</v>
      </c>
      <c r="O91" s="1">
        <v>23</v>
      </c>
      <c r="P91" s="1">
        <v>40</v>
      </c>
      <c r="Q91" s="1"/>
      <c r="R91" s="1"/>
      <c r="S91" s="1"/>
      <c r="T91" s="1"/>
      <c r="U91" s="1"/>
      <c r="V91" s="1"/>
      <c r="W91" s="1"/>
      <c r="X91" s="1"/>
      <c r="Y91" s="1"/>
      <c r="Z91" s="1"/>
      <c r="AA91" s="1"/>
      <c r="AB91" s="1"/>
      <c r="AC91">
        <f t="shared" si="14"/>
        <v>239</v>
      </c>
      <c r="AD91">
        <f t="shared" si="15"/>
        <v>13</v>
      </c>
      <c r="AE91">
        <f t="shared" si="16"/>
        <v>6</v>
      </c>
      <c r="AF91">
        <f t="shared" si="17"/>
        <v>7</v>
      </c>
      <c r="AG91">
        <f t="shared" si="18"/>
        <v>34.142857142857146</v>
      </c>
    </row>
    <row r="92" spans="3:33">
      <c r="C92" t="s">
        <v>181</v>
      </c>
      <c r="D92" s="1">
        <v>32</v>
      </c>
      <c r="E92" s="1">
        <v>0</v>
      </c>
      <c r="F92" s="1">
        <v>0</v>
      </c>
      <c r="G92" s="1">
        <v>33</v>
      </c>
      <c r="H92" s="1">
        <v>0</v>
      </c>
      <c r="I92" s="1">
        <v>51</v>
      </c>
      <c r="J92" s="1">
        <v>32</v>
      </c>
      <c r="K92" s="1">
        <v>37</v>
      </c>
      <c r="L92" s="1">
        <v>0</v>
      </c>
      <c r="M92" s="1">
        <v>39</v>
      </c>
      <c r="N92" s="1"/>
      <c r="O92" s="1"/>
      <c r="P92" s="1"/>
      <c r="Q92" s="1"/>
      <c r="R92" s="1"/>
      <c r="S92" s="1"/>
      <c r="T92" s="1"/>
      <c r="U92" s="1"/>
      <c r="V92" s="1"/>
      <c r="W92" s="1"/>
      <c r="X92" s="1"/>
      <c r="Y92" s="1"/>
      <c r="Z92" s="1"/>
      <c r="AA92" s="1"/>
      <c r="AB92" s="1"/>
      <c r="AC92">
        <f t="shared" si="14"/>
        <v>224</v>
      </c>
      <c r="AD92">
        <f t="shared" si="15"/>
        <v>10</v>
      </c>
      <c r="AE92">
        <f t="shared" si="16"/>
        <v>4</v>
      </c>
      <c r="AF92">
        <f t="shared" si="17"/>
        <v>6</v>
      </c>
      <c r="AG92">
        <f t="shared" si="18"/>
        <v>37.333333333333336</v>
      </c>
    </row>
    <row r="93" spans="3:33">
      <c r="C93" t="s">
        <v>182</v>
      </c>
      <c r="D93" s="1">
        <v>38</v>
      </c>
      <c r="E93" s="1">
        <v>38</v>
      </c>
      <c r="F93" s="1">
        <v>37</v>
      </c>
      <c r="G93" s="1">
        <v>0</v>
      </c>
      <c r="H93" s="1">
        <v>30</v>
      </c>
      <c r="I93" s="1">
        <v>26</v>
      </c>
      <c r="J93" s="1">
        <v>0</v>
      </c>
      <c r="K93" s="1">
        <v>0</v>
      </c>
      <c r="L93" s="1">
        <v>0</v>
      </c>
      <c r="M93" s="1">
        <v>0</v>
      </c>
      <c r="N93" s="1">
        <v>0</v>
      </c>
      <c r="O93" s="1">
        <v>56</v>
      </c>
      <c r="P93" s="1"/>
      <c r="Q93" s="1"/>
      <c r="R93" s="1"/>
      <c r="S93" s="1"/>
      <c r="T93" s="1"/>
      <c r="U93" s="1"/>
      <c r="V93" s="1"/>
      <c r="W93" s="1"/>
      <c r="X93" s="1"/>
      <c r="Y93" s="1"/>
      <c r="Z93" s="1"/>
      <c r="AA93" s="1"/>
      <c r="AB93" s="1"/>
      <c r="AC93">
        <f t="shared" si="14"/>
        <v>225</v>
      </c>
      <c r="AD93">
        <f t="shared" si="15"/>
        <v>12</v>
      </c>
      <c r="AE93">
        <f t="shared" si="16"/>
        <v>6</v>
      </c>
      <c r="AF93">
        <f t="shared" si="17"/>
        <v>6</v>
      </c>
      <c r="AG93">
        <f t="shared" si="18"/>
        <v>37.5</v>
      </c>
    </row>
    <row r="94" spans="3:33">
      <c r="C94" t="s">
        <v>183</v>
      </c>
      <c r="D94" s="1">
        <v>33</v>
      </c>
      <c r="E94" s="1">
        <v>49</v>
      </c>
      <c r="F94" s="1">
        <v>0</v>
      </c>
      <c r="G94" s="1">
        <v>23</v>
      </c>
      <c r="H94" s="1">
        <v>0</v>
      </c>
      <c r="I94" s="1">
        <v>35</v>
      </c>
      <c r="J94" s="1">
        <v>0</v>
      </c>
      <c r="K94" s="1">
        <v>32</v>
      </c>
      <c r="L94" s="1">
        <v>44</v>
      </c>
      <c r="M94" s="1"/>
      <c r="N94" s="1"/>
      <c r="O94" s="1"/>
      <c r="P94" s="1"/>
      <c r="Q94" s="1"/>
      <c r="R94" s="1"/>
      <c r="S94" s="1"/>
      <c r="T94" s="1"/>
      <c r="U94" s="1"/>
      <c r="V94" s="1"/>
      <c r="W94" s="1"/>
      <c r="X94" s="1"/>
      <c r="Y94" s="1"/>
      <c r="Z94" s="1"/>
      <c r="AA94" s="1"/>
      <c r="AB94" s="1"/>
      <c r="AC94">
        <f t="shared" si="14"/>
        <v>216</v>
      </c>
      <c r="AD94">
        <f t="shared" si="15"/>
        <v>9</v>
      </c>
      <c r="AE94">
        <f t="shared" si="16"/>
        <v>3</v>
      </c>
      <c r="AF94">
        <f t="shared" si="17"/>
        <v>6</v>
      </c>
      <c r="AG94">
        <f t="shared" si="18"/>
        <v>36</v>
      </c>
    </row>
    <row r="95" spans="3:33">
      <c r="C95" t="s">
        <v>184</v>
      </c>
      <c r="D95" s="1">
        <v>0</v>
      </c>
      <c r="E95" s="1">
        <v>39</v>
      </c>
      <c r="F95" s="1">
        <v>0</v>
      </c>
      <c r="G95" s="1">
        <v>0</v>
      </c>
      <c r="H95" s="1">
        <v>38</v>
      </c>
      <c r="I95" s="1">
        <v>36</v>
      </c>
      <c r="J95" s="1">
        <v>0</v>
      </c>
      <c r="K95" s="1">
        <v>0</v>
      </c>
      <c r="L95" s="1">
        <v>0</v>
      </c>
      <c r="M95" s="1">
        <v>0</v>
      </c>
      <c r="N95" s="1">
        <v>0</v>
      </c>
      <c r="O95" s="1">
        <v>0</v>
      </c>
      <c r="P95" s="1">
        <v>0</v>
      </c>
      <c r="Q95" s="1">
        <v>41</v>
      </c>
      <c r="R95" s="1">
        <v>45</v>
      </c>
      <c r="S95" s="1">
        <v>0</v>
      </c>
      <c r="T95" s="1">
        <v>0</v>
      </c>
      <c r="U95" s="1">
        <v>30</v>
      </c>
      <c r="V95" s="1"/>
      <c r="W95" s="1"/>
      <c r="X95" s="1"/>
      <c r="Y95" s="1"/>
      <c r="Z95" s="1"/>
      <c r="AA95" s="1"/>
      <c r="AB95" s="1"/>
      <c r="AC95">
        <f t="shared" si="14"/>
        <v>229</v>
      </c>
      <c r="AD95">
        <f t="shared" si="15"/>
        <v>18</v>
      </c>
      <c r="AE95">
        <f t="shared" si="16"/>
        <v>12</v>
      </c>
      <c r="AF95">
        <f t="shared" si="17"/>
        <v>6</v>
      </c>
      <c r="AG95">
        <f t="shared" si="18"/>
        <v>38.166666666666664</v>
      </c>
    </row>
    <row r="96" spans="3:33">
      <c r="C96" t="s">
        <v>185</v>
      </c>
      <c r="D96" s="1">
        <v>42</v>
      </c>
      <c r="E96" s="1">
        <v>41</v>
      </c>
      <c r="F96" s="1">
        <v>36</v>
      </c>
      <c r="G96" s="1">
        <v>32</v>
      </c>
      <c r="H96" s="1">
        <v>0</v>
      </c>
      <c r="I96" s="1">
        <v>0</v>
      </c>
      <c r="J96" s="1">
        <v>38</v>
      </c>
      <c r="K96" s="1">
        <v>0</v>
      </c>
      <c r="L96" s="1">
        <v>30</v>
      </c>
      <c r="M96" s="1"/>
      <c r="N96" s="1"/>
      <c r="O96" s="1"/>
      <c r="P96" s="1"/>
      <c r="Q96" s="1"/>
      <c r="R96" s="1"/>
      <c r="S96" s="1"/>
      <c r="T96" s="1"/>
      <c r="U96" s="1"/>
      <c r="V96" s="1"/>
      <c r="W96" s="1"/>
      <c r="X96" s="1"/>
      <c r="Y96" s="1"/>
      <c r="Z96" s="1"/>
      <c r="AA96" s="1"/>
      <c r="AB96" s="1"/>
      <c r="AC96">
        <f t="shared" si="14"/>
        <v>219</v>
      </c>
      <c r="AD96">
        <f t="shared" si="15"/>
        <v>9</v>
      </c>
      <c r="AE96">
        <f t="shared" si="16"/>
        <v>3</v>
      </c>
      <c r="AF96">
        <f t="shared" si="17"/>
        <v>6</v>
      </c>
      <c r="AG96">
        <f t="shared" si="18"/>
        <v>36.5</v>
      </c>
    </row>
    <row r="97" spans="3:33">
      <c r="C97" t="s">
        <v>186</v>
      </c>
      <c r="D97" s="1">
        <v>31</v>
      </c>
      <c r="E97" s="1">
        <v>42</v>
      </c>
      <c r="F97" s="1">
        <v>41</v>
      </c>
      <c r="G97" s="1">
        <v>0</v>
      </c>
      <c r="H97" s="1">
        <v>0</v>
      </c>
      <c r="I97" s="1">
        <v>35</v>
      </c>
      <c r="J97" s="1">
        <v>39</v>
      </c>
      <c r="K97" s="1">
        <v>0</v>
      </c>
      <c r="L97" s="1">
        <v>0</v>
      </c>
      <c r="M97" s="1">
        <v>0</v>
      </c>
      <c r="N97" s="1">
        <v>0</v>
      </c>
      <c r="O97" s="1">
        <v>0</v>
      </c>
      <c r="P97" s="1">
        <v>30</v>
      </c>
      <c r="Q97" s="1"/>
      <c r="R97" s="1"/>
      <c r="S97" s="1"/>
      <c r="T97" s="1"/>
      <c r="U97" s="1"/>
      <c r="V97" s="1"/>
      <c r="W97" s="1"/>
      <c r="X97" s="1"/>
      <c r="Y97" s="1"/>
      <c r="Z97" s="1"/>
      <c r="AA97" s="1"/>
      <c r="AB97" s="1"/>
      <c r="AC97">
        <f t="shared" si="14"/>
        <v>218</v>
      </c>
      <c r="AD97">
        <f t="shared" si="15"/>
        <v>13</v>
      </c>
      <c r="AE97">
        <f t="shared" si="16"/>
        <v>7</v>
      </c>
      <c r="AF97">
        <f t="shared" si="17"/>
        <v>6</v>
      </c>
      <c r="AG97">
        <f t="shared" si="18"/>
        <v>36.333333333333336</v>
      </c>
    </row>
    <row r="98" spans="3:33">
      <c r="C98" t="s">
        <v>187</v>
      </c>
      <c r="D98" s="1">
        <v>30</v>
      </c>
      <c r="E98" s="1">
        <v>0</v>
      </c>
      <c r="F98" s="1">
        <v>0</v>
      </c>
      <c r="G98" s="1">
        <v>0</v>
      </c>
      <c r="H98" s="1">
        <v>46</v>
      </c>
      <c r="I98" s="1">
        <v>34</v>
      </c>
      <c r="J98" s="1">
        <v>0</v>
      </c>
      <c r="K98" s="1">
        <v>0</v>
      </c>
      <c r="L98" s="1">
        <v>0</v>
      </c>
      <c r="M98" s="1">
        <v>44</v>
      </c>
      <c r="N98" s="1">
        <v>38</v>
      </c>
      <c r="O98" s="1">
        <v>0</v>
      </c>
      <c r="P98" s="1">
        <v>0</v>
      </c>
      <c r="Q98" s="1">
        <v>38</v>
      </c>
      <c r="R98" s="1"/>
      <c r="S98" s="1"/>
      <c r="T98" s="1"/>
      <c r="U98" s="1"/>
      <c r="V98" s="1"/>
      <c r="W98" s="1"/>
      <c r="X98" s="1"/>
      <c r="Y98" s="1"/>
      <c r="Z98" s="1"/>
      <c r="AA98" s="1"/>
      <c r="AB98" s="1"/>
      <c r="AC98">
        <f t="shared" si="14"/>
        <v>230</v>
      </c>
      <c r="AD98">
        <f t="shared" si="15"/>
        <v>14</v>
      </c>
      <c r="AE98">
        <f t="shared" si="16"/>
        <v>8</v>
      </c>
      <c r="AF98">
        <f t="shared" si="17"/>
        <v>6</v>
      </c>
      <c r="AG98">
        <f t="shared" si="18"/>
        <v>38.333333333333336</v>
      </c>
    </row>
    <row r="99" spans="3:33">
      <c r="C99" t="s">
        <v>188</v>
      </c>
      <c r="D99" s="1">
        <v>0</v>
      </c>
      <c r="E99" s="1">
        <v>0</v>
      </c>
      <c r="F99" s="1">
        <v>30</v>
      </c>
      <c r="G99" s="1">
        <v>36</v>
      </c>
      <c r="H99" s="1">
        <v>45</v>
      </c>
      <c r="I99" s="1">
        <v>0</v>
      </c>
      <c r="J99" s="1">
        <v>21</v>
      </c>
      <c r="K99" s="1">
        <v>27</v>
      </c>
      <c r="L99" s="1">
        <v>28</v>
      </c>
      <c r="M99" s="1">
        <v>22</v>
      </c>
      <c r="N99" s="1"/>
      <c r="O99" s="1"/>
      <c r="P99" s="1"/>
      <c r="Q99" s="1"/>
      <c r="R99" s="1"/>
      <c r="S99" s="1"/>
      <c r="T99" s="1"/>
      <c r="U99" s="1"/>
      <c r="V99" s="1"/>
      <c r="W99" s="1"/>
      <c r="X99" s="1"/>
      <c r="Y99" s="1"/>
      <c r="Z99" s="1"/>
      <c r="AA99" s="1"/>
      <c r="AB99" s="1"/>
      <c r="AC99">
        <f t="shared" si="14"/>
        <v>209</v>
      </c>
      <c r="AD99">
        <f t="shared" si="15"/>
        <v>10</v>
      </c>
      <c r="AE99">
        <f t="shared" si="16"/>
        <v>3</v>
      </c>
      <c r="AF99">
        <f t="shared" si="17"/>
        <v>7</v>
      </c>
      <c r="AG99">
        <f t="shared" si="18"/>
        <v>29.857142857142858</v>
      </c>
    </row>
    <row r="100" spans="3:33">
      <c r="C100" t="s">
        <v>189</v>
      </c>
      <c r="D100" s="1">
        <v>39</v>
      </c>
      <c r="E100" s="1">
        <v>74</v>
      </c>
      <c r="F100" s="1">
        <v>0</v>
      </c>
      <c r="G100" s="1">
        <v>36</v>
      </c>
      <c r="H100" s="1">
        <v>0</v>
      </c>
      <c r="I100" s="1">
        <v>34</v>
      </c>
      <c r="J100" s="1">
        <v>30</v>
      </c>
      <c r="K100" s="1"/>
      <c r="L100" s="1"/>
      <c r="M100" s="1"/>
      <c r="N100" s="1"/>
      <c r="O100" s="1"/>
      <c r="P100" s="1"/>
      <c r="Q100" s="1"/>
      <c r="R100" s="1"/>
      <c r="S100" s="1"/>
      <c r="T100" s="1"/>
      <c r="U100" s="1"/>
      <c r="V100" s="1"/>
      <c r="W100" s="1"/>
      <c r="X100" s="1"/>
      <c r="Y100" s="1"/>
      <c r="Z100" s="1"/>
      <c r="AA100" s="1"/>
      <c r="AB100" s="1"/>
      <c r="AC100">
        <f t="shared" si="14"/>
        <v>213</v>
      </c>
      <c r="AD100">
        <f t="shared" si="15"/>
        <v>7</v>
      </c>
      <c r="AE100">
        <f t="shared" si="16"/>
        <v>2</v>
      </c>
      <c r="AF100">
        <f t="shared" si="17"/>
        <v>5</v>
      </c>
      <c r="AG100">
        <f t="shared" si="18"/>
        <v>42.6</v>
      </c>
    </row>
    <row r="101" spans="3:33">
      <c r="C101" t="s">
        <v>190</v>
      </c>
      <c r="D101" s="1">
        <v>49</v>
      </c>
      <c r="E101" s="1">
        <v>0</v>
      </c>
      <c r="F101" s="1">
        <v>41</v>
      </c>
      <c r="G101" s="1">
        <v>0</v>
      </c>
      <c r="H101" s="1">
        <v>0</v>
      </c>
      <c r="I101" s="1">
        <v>33</v>
      </c>
      <c r="J101" s="1">
        <v>40</v>
      </c>
      <c r="K101" s="1">
        <v>33</v>
      </c>
      <c r="L101" s="1">
        <v>0</v>
      </c>
      <c r="M101" s="1">
        <v>0</v>
      </c>
      <c r="N101" s="1">
        <v>42</v>
      </c>
      <c r="O101" s="1"/>
      <c r="P101" s="1"/>
      <c r="Q101" s="1"/>
      <c r="R101" s="1"/>
      <c r="S101" s="1"/>
      <c r="T101" s="1"/>
      <c r="U101" s="1"/>
      <c r="V101" s="1"/>
      <c r="W101" s="1"/>
      <c r="X101" s="1"/>
      <c r="Y101" s="1"/>
      <c r="Z101" s="1"/>
      <c r="AA101" s="1"/>
      <c r="AB101" s="1"/>
      <c r="AC101">
        <f t="shared" si="14"/>
        <v>238</v>
      </c>
      <c r="AD101">
        <f t="shared" si="15"/>
        <v>11</v>
      </c>
      <c r="AE101">
        <f t="shared" si="16"/>
        <v>5</v>
      </c>
      <c r="AF101">
        <f t="shared" si="17"/>
        <v>6</v>
      </c>
      <c r="AG101">
        <f t="shared" si="18"/>
        <v>39.666666666666664</v>
      </c>
    </row>
    <row r="102" spans="3:33">
      <c r="C102" t="s">
        <v>191</v>
      </c>
      <c r="D102" s="1">
        <v>32</v>
      </c>
      <c r="E102" s="1">
        <v>46</v>
      </c>
      <c r="F102" s="1">
        <v>47</v>
      </c>
      <c r="G102" s="1">
        <v>0</v>
      </c>
      <c r="H102" s="1">
        <v>0</v>
      </c>
      <c r="I102" s="1">
        <v>32</v>
      </c>
      <c r="J102" s="1">
        <v>0</v>
      </c>
      <c r="K102" s="1">
        <v>0</v>
      </c>
      <c r="L102" s="1">
        <v>30</v>
      </c>
      <c r="M102" s="1">
        <v>0</v>
      </c>
      <c r="N102" s="1">
        <v>28</v>
      </c>
      <c r="O102" s="1"/>
      <c r="P102" s="1"/>
      <c r="Q102" s="1"/>
      <c r="R102" s="1"/>
      <c r="S102" s="1"/>
      <c r="T102" s="1"/>
      <c r="U102" s="1"/>
      <c r="V102" s="1"/>
      <c r="W102" s="1"/>
      <c r="X102" s="1"/>
      <c r="Y102" s="1"/>
      <c r="Z102" s="1"/>
      <c r="AA102" s="1"/>
      <c r="AB102" s="1"/>
      <c r="AC102">
        <f t="shared" si="14"/>
        <v>215</v>
      </c>
      <c r="AD102">
        <f t="shared" si="15"/>
        <v>11</v>
      </c>
      <c r="AE102">
        <f t="shared" si="16"/>
        <v>5</v>
      </c>
      <c r="AF102">
        <f t="shared" si="17"/>
        <v>6</v>
      </c>
      <c r="AG102">
        <f t="shared" si="18"/>
        <v>35.833333333333336</v>
      </c>
    </row>
    <row r="103" spans="3:33">
      <c r="C103" t="s">
        <v>192</v>
      </c>
      <c r="D103" s="1">
        <v>34</v>
      </c>
      <c r="E103" s="1">
        <v>33</v>
      </c>
      <c r="F103" s="1">
        <v>45</v>
      </c>
      <c r="G103" s="1">
        <v>0</v>
      </c>
      <c r="H103" s="1">
        <v>0</v>
      </c>
      <c r="I103" s="1">
        <v>34</v>
      </c>
      <c r="J103" s="1">
        <v>0</v>
      </c>
      <c r="K103" s="1">
        <v>34</v>
      </c>
      <c r="L103" s="1">
        <v>0</v>
      </c>
      <c r="M103" s="1">
        <v>0</v>
      </c>
      <c r="N103" s="1">
        <v>0</v>
      </c>
      <c r="O103" s="1">
        <v>36</v>
      </c>
      <c r="P103" s="1"/>
      <c r="Q103" s="1"/>
      <c r="R103" s="1"/>
      <c r="S103" s="1"/>
      <c r="T103" s="1"/>
      <c r="U103" s="1"/>
      <c r="V103" s="1"/>
      <c r="W103" s="1"/>
      <c r="X103" s="1"/>
      <c r="Y103" s="1"/>
      <c r="Z103" s="1"/>
      <c r="AA103" s="1"/>
      <c r="AB103" s="1"/>
      <c r="AC103">
        <f t="shared" si="14"/>
        <v>216</v>
      </c>
      <c r="AD103">
        <f t="shared" si="15"/>
        <v>12</v>
      </c>
      <c r="AE103">
        <f t="shared" si="16"/>
        <v>6</v>
      </c>
      <c r="AF103">
        <f t="shared" si="17"/>
        <v>6</v>
      </c>
      <c r="AG103">
        <f t="shared" si="18"/>
        <v>36</v>
      </c>
    </row>
    <row r="104" spans="3:33">
      <c r="C104" t="s">
        <v>193</v>
      </c>
      <c r="D104" s="1">
        <v>0</v>
      </c>
      <c r="E104" s="1">
        <v>18</v>
      </c>
      <c r="F104" s="1">
        <v>0</v>
      </c>
      <c r="G104" s="1">
        <v>0</v>
      </c>
      <c r="H104" s="1">
        <v>53</v>
      </c>
      <c r="I104" s="1">
        <v>0</v>
      </c>
      <c r="J104" s="1">
        <v>34</v>
      </c>
      <c r="K104" s="1">
        <v>0</v>
      </c>
      <c r="L104" s="1">
        <v>0</v>
      </c>
      <c r="M104" s="1">
        <v>29</v>
      </c>
      <c r="N104" s="1">
        <v>0</v>
      </c>
      <c r="O104" s="1">
        <v>0</v>
      </c>
      <c r="P104" s="1">
        <v>42</v>
      </c>
      <c r="Q104" s="1">
        <v>0</v>
      </c>
      <c r="R104" s="1">
        <v>27</v>
      </c>
      <c r="S104" s="1"/>
      <c r="T104" s="1"/>
      <c r="U104" s="1"/>
      <c r="V104" s="1"/>
      <c r="W104" s="1"/>
      <c r="X104" s="1"/>
      <c r="Y104" s="1"/>
      <c r="Z104" s="1"/>
      <c r="AA104" s="1"/>
      <c r="AB104" s="1"/>
      <c r="AC104">
        <f t="shared" si="14"/>
        <v>203</v>
      </c>
      <c r="AD104">
        <f t="shared" si="15"/>
        <v>15</v>
      </c>
      <c r="AE104">
        <f t="shared" si="16"/>
        <v>9</v>
      </c>
      <c r="AF104">
        <f t="shared" si="17"/>
        <v>6</v>
      </c>
      <c r="AG104">
        <f t="shared" si="18"/>
        <v>33.833333333333336</v>
      </c>
    </row>
    <row r="105" spans="3:33">
      <c r="C105" t="s">
        <v>194</v>
      </c>
      <c r="D105" s="1">
        <v>0</v>
      </c>
      <c r="E105" s="1">
        <v>0</v>
      </c>
      <c r="F105" s="1">
        <v>35</v>
      </c>
      <c r="G105" s="1">
        <v>0</v>
      </c>
      <c r="H105" s="1">
        <v>42</v>
      </c>
      <c r="I105" s="1">
        <v>0</v>
      </c>
      <c r="J105" s="1">
        <v>35</v>
      </c>
      <c r="K105" s="1">
        <v>33</v>
      </c>
      <c r="L105" s="1">
        <v>44</v>
      </c>
      <c r="M105" s="1">
        <v>39</v>
      </c>
      <c r="N105" s="1"/>
      <c r="O105" s="1"/>
      <c r="P105" s="1"/>
      <c r="Q105" s="1"/>
      <c r="R105" s="1"/>
      <c r="S105" s="1"/>
      <c r="T105" s="1"/>
      <c r="U105" s="1"/>
      <c r="V105" s="1"/>
      <c r="W105" s="1"/>
      <c r="X105" s="1"/>
      <c r="Y105" s="1"/>
      <c r="Z105" s="1"/>
      <c r="AA105" s="1"/>
      <c r="AB105" s="1"/>
      <c r="AC105">
        <f t="shared" si="14"/>
        <v>228</v>
      </c>
      <c r="AD105">
        <f t="shared" si="15"/>
        <v>10</v>
      </c>
      <c r="AE105">
        <f t="shared" si="16"/>
        <v>4</v>
      </c>
      <c r="AF105">
        <f t="shared" si="17"/>
        <v>6</v>
      </c>
      <c r="AG105">
        <f t="shared" si="18"/>
        <v>38</v>
      </c>
    </row>
    <row r="106" spans="3:33">
      <c r="C106" t="s">
        <v>195</v>
      </c>
      <c r="D106" s="1">
        <v>0</v>
      </c>
      <c r="E106" s="1">
        <v>78</v>
      </c>
      <c r="F106" s="1">
        <v>0</v>
      </c>
      <c r="G106" s="1">
        <v>0</v>
      </c>
      <c r="H106" s="1">
        <v>0</v>
      </c>
      <c r="I106" s="1">
        <v>34</v>
      </c>
      <c r="J106" s="1">
        <v>30</v>
      </c>
      <c r="K106" s="1">
        <v>0</v>
      </c>
      <c r="L106" s="1">
        <v>30</v>
      </c>
      <c r="M106" s="1">
        <v>0</v>
      </c>
      <c r="N106" s="1">
        <v>0</v>
      </c>
      <c r="O106" s="1">
        <v>0</v>
      </c>
      <c r="P106" s="1">
        <v>35</v>
      </c>
      <c r="Q106" s="1"/>
      <c r="R106" s="1"/>
      <c r="S106" s="1"/>
      <c r="T106" s="1"/>
      <c r="U106" s="1"/>
      <c r="V106" s="1"/>
      <c r="W106" s="1"/>
      <c r="X106" s="1"/>
      <c r="Y106" s="1"/>
      <c r="Z106" s="1"/>
      <c r="AA106" s="1"/>
      <c r="AB106" s="1"/>
      <c r="AC106">
        <f t="shared" si="14"/>
        <v>207</v>
      </c>
      <c r="AD106">
        <f t="shared" si="15"/>
        <v>13</v>
      </c>
      <c r="AE106">
        <f t="shared" si="16"/>
        <v>8</v>
      </c>
      <c r="AF106">
        <f t="shared" si="17"/>
        <v>5</v>
      </c>
      <c r="AG106">
        <f t="shared" si="18"/>
        <v>41.4</v>
      </c>
    </row>
    <row r="107" spans="3:33">
      <c r="C107" t="s">
        <v>196</v>
      </c>
      <c r="D107" s="1">
        <v>0</v>
      </c>
      <c r="E107" s="1">
        <v>32</v>
      </c>
      <c r="F107" s="1">
        <v>0</v>
      </c>
      <c r="G107" s="1">
        <v>36</v>
      </c>
      <c r="H107" s="1">
        <v>39</v>
      </c>
      <c r="I107" s="1">
        <v>0</v>
      </c>
      <c r="J107" s="1">
        <v>37</v>
      </c>
      <c r="K107" s="1">
        <v>36</v>
      </c>
      <c r="L107" s="1">
        <v>0</v>
      </c>
      <c r="M107" s="1">
        <v>34</v>
      </c>
      <c r="N107" s="1"/>
      <c r="O107" s="1"/>
      <c r="P107" s="1"/>
      <c r="Q107" s="1"/>
      <c r="R107" s="1"/>
      <c r="S107" s="1"/>
      <c r="T107" s="1"/>
      <c r="U107" s="1"/>
      <c r="V107" s="1"/>
      <c r="W107" s="1"/>
      <c r="X107" s="1"/>
      <c r="Y107" s="1"/>
      <c r="Z107" s="1"/>
      <c r="AA107" s="1"/>
      <c r="AB107" s="1"/>
      <c r="AC107">
        <f t="shared" si="14"/>
        <v>214</v>
      </c>
      <c r="AD107">
        <f t="shared" si="15"/>
        <v>10</v>
      </c>
      <c r="AE107">
        <f t="shared" si="16"/>
        <v>4</v>
      </c>
      <c r="AF107">
        <f t="shared" si="17"/>
        <v>6</v>
      </c>
      <c r="AG107">
        <f t="shared" si="18"/>
        <v>35.666666666666664</v>
      </c>
    </row>
    <row r="108" spans="3:33">
      <c r="C108" t="s">
        <v>197</v>
      </c>
      <c r="D108" s="1">
        <v>48</v>
      </c>
      <c r="E108" s="1">
        <v>64</v>
      </c>
      <c r="F108" s="1">
        <v>49</v>
      </c>
      <c r="G108" s="1">
        <v>38</v>
      </c>
      <c r="H108" s="1">
        <v>42</v>
      </c>
      <c r="I108" s="1"/>
      <c r="J108" s="1"/>
      <c r="K108" s="1"/>
      <c r="L108" s="1"/>
      <c r="M108" s="1"/>
      <c r="N108" s="1"/>
      <c r="O108" s="1"/>
      <c r="P108" s="1"/>
      <c r="Q108" s="1"/>
      <c r="R108" s="1"/>
      <c r="S108" s="1"/>
      <c r="T108" s="1"/>
      <c r="U108" s="1"/>
      <c r="V108" s="1"/>
      <c r="W108" s="1"/>
      <c r="X108" s="1"/>
      <c r="Y108" s="1"/>
      <c r="Z108" s="1"/>
      <c r="AA108" s="1"/>
      <c r="AB108" s="1"/>
      <c r="AC108">
        <f t="shared" si="14"/>
        <v>241</v>
      </c>
      <c r="AD108">
        <f t="shared" si="15"/>
        <v>5</v>
      </c>
      <c r="AE108">
        <f t="shared" si="16"/>
        <v>0</v>
      </c>
      <c r="AF108">
        <f t="shared" si="17"/>
        <v>5</v>
      </c>
      <c r="AG108">
        <f t="shared" si="18"/>
        <v>48.2</v>
      </c>
    </row>
    <row r="109" spans="3:33">
      <c r="C109" t="s">
        <v>198</v>
      </c>
      <c r="D109" s="1">
        <v>32</v>
      </c>
      <c r="E109" s="1">
        <v>0</v>
      </c>
      <c r="F109" s="1">
        <v>0</v>
      </c>
      <c r="G109" s="1">
        <v>0</v>
      </c>
      <c r="H109" s="1">
        <v>0</v>
      </c>
      <c r="I109" s="1">
        <v>0</v>
      </c>
      <c r="J109" s="1">
        <v>35</v>
      </c>
      <c r="K109" s="1">
        <v>0</v>
      </c>
      <c r="L109" s="1">
        <v>42</v>
      </c>
      <c r="M109" s="1">
        <v>26</v>
      </c>
      <c r="N109" s="1">
        <v>24</v>
      </c>
      <c r="O109" s="1">
        <v>0</v>
      </c>
      <c r="P109" s="1">
        <v>39</v>
      </c>
      <c r="Q109" s="1">
        <v>0</v>
      </c>
      <c r="R109" s="1">
        <v>32</v>
      </c>
      <c r="S109" s="1"/>
      <c r="T109" s="1"/>
      <c r="U109" s="1"/>
      <c r="V109" s="1"/>
      <c r="W109" s="1"/>
      <c r="X109" s="1"/>
      <c r="Y109" s="1"/>
      <c r="Z109" s="1"/>
      <c r="AA109" s="1"/>
      <c r="AB109" s="1"/>
      <c r="AC109">
        <f t="shared" si="14"/>
        <v>230</v>
      </c>
      <c r="AD109">
        <f t="shared" si="15"/>
        <v>15</v>
      </c>
      <c r="AE109">
        <f t="shared" si="16"/>
        <v>8</v>
      </c>
      <c r="AF109">
        <f t="shared" si="17"/>
        <v>7</v>
      </c>
      <c r="AG109">
        <f t="shared" si="18"/>
        <v>32.857142857142854</v>
      </c>
    </row>
    <row r="110" spans="3:33">
      <c r="C110" t="s">
        <v>199</v>
      </c>
      <c r="D110" s="1">
        <v>43</v>
      </c>
      <c r="E110" s="1">
        <v>28</v>
      </c>
      <c r="F110" s="1">
        <v>0</v>
      </c>
      <c r="G110" s="1">
        <v>45</v>
      </c>
      <c r="H110" s="1">
        <v>0</v>
      </c>
      <c r="I110" s="1">
        <v>39</v>
      </c>
      <c r="J110" s="1">
        <v>40</v>
      </c>
      <c r="K110" s="1">
        <v>0</v>
      </c>
      <c r="L110" s="1">
        <v>31</v>
      </c>
      <c r="M110" s="1"/>
      <c r="N110" s="1"/>
      <c r="O110" s="1"/>
      <c r="P110" s="1"/>
      <c r="Q110" s="1"/>
      <c r="R110" s="1"/>
      <c r="S110" s="1"/>
      <c r="T110" s="1"/>
      <c r="U110" s="1"/>
      <c r="V110" s="1"/>
      <c r="W110" s="1"/>
      <c r="X110" s="1"/>
      <c r="Y110" s="1"/>
      <c r="Z110" s="1"/>
      <c r="AA110" s="1"/>
      <c r="AB110" s="1"/>
      <c r="AC110">
        <f t="shared" si="14"/>
        <v>226</v>
      </c>
      <c r="AD110">
        <f t="shared" si="15"/>
        <v>9</v>
      </c>
      <c r="AE110">
        <f t="shared" si="16"/>
        <v>3</v>
      </c>
      <c r="AF110">
        <f t="shared" si="17"/>
        <v>6</v>
      </c>
      <c r="AG110">
        <f t="shared" si="18"/>
        <v>37.666666666666664</v>
      </c>
    </row>
    <row r="111" spans="3:33">
      <c r="C111" t="s">
        <v>200</v>
      </c>
      <c r="D111" s="1">
        <v>0</v>
      </c>
      <c r="E111" s="1">
        <v>35</v>
      </c>
      <c r="F111" s="1">
        <v>0</v>
      </c>
      <c r="G111" s="1">
        <v>32</v>
      </c>
      <c r="H111" s="1">
        <v>33</v>
      </c>
      <c r="I111" s="1">
        <v>0</v>
      </c>
      <c r="J111" s="1">
        <v>26</v>
      </c>
      <c r="K111" s="1">
        <v>40</v>
      </c>
      <c r="L111" s="1">
        <v>0</v>
      </c>
      <c r="M111" s="1">
        <v>0</v>
      </c>
      <c r="N111" s="1">
        <v>29</v>
      </c>
      <c r="O111" s="1">
        <v>0</v>
      </c>
      <c r="P111" s="1">
        <v>0</v>
      </c>
      <c r="Q111" s="1">
        <v>47</v>
      </c>
      <c r="R111" s="1"/>
      <c r="S111" s="1"/>
      <c r="T111" s="1"/>
      <c r="U111" s="1"/>
      <c r="V111" s="1"/>
      <c r="W111" s="1"/>
      <c r="X111" s="1"/>
      <c r="Y111" s="1"/>
      <c r="Z111" s="1"/>
      <c r="AA111" s="1"/>
      <c r="AB111" s="1"/>
      <c r="AC111">
        <f t="shared" si="14"/>
        <v>242</v>
      </c>
      <c r="AD111">
        <f t="shared" si="15"/>
        <v>14</v>
      </c>
      <c r="AE111">
        <f t="shared" si="16"/>
        <v>7</v>
      </c>
      <c r="AF111">
        <f t="shared" si="17"/>
        <v>7</v>
      </c>
      <c r="AG111">
        <f t="shared" si="18"/>
        <v>34.571428571428569</v>
      </c>
    </row>
    <row r="112" spans="3:33">
      <c r="C112" t="s">
        <v>201</v>
      </c>
      <c r="D112" s="1">
        <v>0</v>
      </c>
      <c r="E112" s="1">
        <v>0</v>
      </c>
      <c r="F112" s="1">
        <v>65</v>
      </c>
      <c r="G112" s="1">
        <v>37</v>
      </c>
      <c r="H112" s="1">
        <v>24</v>
      </c>
      <c r="I112" s="1">
        <v>46</v>
      </c>
      <c r="J112" s="1">
        <v>0</v>
      </c>
      <c r="K112" s="1">
        <v>36</v>
      </c>
      <c r="L112" s="1"/>
      <c r="M112" s="1"/>
      <c r="N112" s="1"/>
      <c r="O112" s="1"/>
      <c r="P112" s="1"/>
      <c r="Q112" s="1"/>
      <c r="R112" s="1"/>
      <c r="S112" s="1"/>
      <c r="T112" s="1"/>
      <c r="U112" s="1"/>
      <c r="V112" s="1"/>
      <c r="W112" s="1"/>
      <c r="X112" s="1"/>
      <c r="Y112" s="1"/>
      <c r="Z112" s="1"/>
      <c r="AA112" s="1"/>
      <c r="AB112" s="1"/>
      <c r="AC112">
        <f t="shared" ref="AC112:AC115" si="19">SUM(D112:AB112)</f>
        <v>208</v>
      </c>
      <c r="AD112">
        <f t="shared" si="15"/>
        <v>8</v>
      </c>
      <c r="AE112">
        <f t="shared" si="16"/>
        <v>3</v>
      </c>
      <c r="AF112">
        <f t="shared" si="17"/>
        <v>5</v>
      </c>
      <c r="AG112">
        <f t="shared" si="18"/>
        <v>41.6</v>
      </c>
    </row>
    <row r="113" spans="3:33">
      <c r="C113" t="s">
        <v>202</v>
      </c>
      <c r="D113" s="1">
        <v>32</v>
      </c>
      <c r="E113" s="1">
        <v>33</v>
      </c>
      <c r="F113" s="1">
        <v>31</v>
      </c>
      <c r="G113" s="1">
        <v>0</v>
      </c>
      <c r="H113" s="1">
        <v>0</v>
      </c>
      <c r="I113" s="1">
        <v>40</v>
      </c>
      <c r="J113" s="1">
        <v>43</v>
      </c>
      <c r="K113" s="1">
        <v>29</v>
      </c>
      <c r="L113" s="1"/>
      <c r="M113" s="1"/>
      <c r="N113" s="1"/>
      <c r="O113" s="1"/>
      <c r="P113" s="1"/>
      <c r="Q113" s="1"/>
      <c r="R113" s="1"/>
      <c r="S113" s="1"/>
      <c r="T113" s="1"/>
      <c r="U113" s="1"/>
      <c r="V113" s="1"/>
      <c r="W113" s="1"/>
      <c r="X113" s="1"/>
      <c r="Y113" s="1"/>
      <c r="Z113" s="1"/>
      <c r="AA113" s="1"/>
      <c r="AB113" s="1"/>
      <c r="AC113">
        <f t="shared" si="19"/>
        <v>208</v>
      </c>
      <c r="AD113">
        <f t="shared" si="15"/>
        <v>8</v>
      </c>
      <c r="AE113">
        <f t="shared" si="16"/>
        <v>2</v>
      </c>
      <c r="AF113">
        <f t="shared" si="17"/>
        <v>6</v>
      </c>
      <c r="AG113">
        <f t="shared" si="18"/>
        <v>34.666666666666664</v>
      </c>
    </row>
    <row r="114" spans="3:33">
      <c r="C114" t="s">
        <v>203</v>
      </c>
      <c r="D114" s="1">
        <v>28</v>
      </c>
      <c r="E114" s="1">
        <v>30</v>
      </c>
      <c r="F114" s="1">
        <v>39</v>
      </c>
      <c r="G114" s="1">
        <v>0</v>
      </c>
      <c r="H114" s="1">
        <v>40</v>
      </c>
      <c r="I114" s="1">
        <v>35</v>
      </c>
      <c r="J114" s="1">
        <v>0</v>
      </c>
      <c r="K114" s="1">
        <v>0</v>
      </c>
      <c r="L114" s="1">
        <v>34</v>
      </c>
      <c r="M114" s="1"/>
      <c r="N114" s="1"/>
      <c r="O114" s="1"/>
      <c r="P114" s="1"/>
      <c r="Q114" s="1"/>
      <c r="R114" s="1"/>
      <c r="S114" s="1"/>
      <c r="T114" s="1"/>
      <c r="U114" s="1"/>
      <c r="V114" s="1"/>
      <c r="W114" s="1"/>
      <c r="X114" s="1"/>
      <c r="Y114" s="1"/>
      <c r="Z114" s="1"/>
      <c r="AA114" s="1"/>
      <c r="AB114" s="1"/>
      <c r="AC114">
        <f t="shared" si="19"/>
        <v>206</v>
      </c>
      <c r="AD114">
        <f t="shared" si="15"/>
        <v>9</v>
      </c>
      <c r="AE114">
        <f t="shared" si="16"/>
        <v>3</v>
      </c>
      <c r="AF114">
        <f t="shared" si="17"/>
        <v>6</v>
      </c>
      <c r="AG114">
        <f t="shared" si="18"/>
        <v>34.333333333333336</v>
      </c>
    </row>
    <row r="115" spans="3:33">
      <c r="C115" t="s">
        <v>204</v>
      </c>
      <c r="D115" s="1">
        <v>39</v>
      </c>
      <c r="E115" s="1">
        <v>58</v>
      </c>
      <c r="F115" s="1">
        <v>33</v>
      </c>
      <c r="G115" s="1">
        <v>43</v>
      </c>
      <c r="H115" s="1">
        <v>64</v>
      </c>
      <c r="I115" s="1"/>
      <c r="J115" s="1"/>
      <c r="K115" s="1"/>
      <c r="L115" s="1"/>
      <c r="M115" s="1"/>
      <c r="N115" s="1"/>
      <c r="O115" s="1"/>
      <c r="P115" s="1"/>
      <c r="Q115" s="1"/>
      <c r="R115" s="1"/>
      <c r="S115" s="1"/>
      <c r="T115" s="1"/>
      <c r="U115" s="1"/>
      <c r="V115" s="1"/>
      <c r="W115" s="1"/>
      <c r="X115" s="1"/>
      <c r="Y115" s="1"/>
      <c r="Z115" s="1"/>
      <c r="AA115" s="1"/>
      <c r="AB115" s="1"/>
      <c r="AC115">
        <f t="shared" si="19"/>
        <v>237</v>
      </c>
      <c r="AD115">
        <f t="shared" si="15"/>
        <v>5</v>
      </c>
      <c r="AE115">
        <f t="shared" si="16"/>
        <v>0</v>
      </c>
      <c r="AF115">
        <f t="shared" si="17"/>
        <v>5</v>
      </c>
      <c r="AG115">
        <f t="shared" si="18"/>
        <v>47.4</v>
      </c>
    </row>
    <row r="116" spans="3:33">
      <c r="AC116" t="s">
        <v>52</v>
      </c>
      <c r="AD116">
        <f>AVERAGE(AD16:AD115)</f>
        <v>11.02</v>
      </c>
      <c r="AE116">
        <f>AVERAGE(AE16:AE115)</f>
        <v>4.9400000000000004</v>
      </c>
      <c r="AF116">
        <f>AVERAGE(AF16:AF115)</f>
        <v>6.08</v>
      </c>
      <c r="AG116">
        <f>AVERAGE(AG16:AG115)</f>
        <v>36.181940476190469</v>
      </c>
    </row>
  </sheetData>
  <conditionalFormatting sqref="D3:R12">
    <cfRule type="colorScale" priority="4">
      <colorScale>
        <cfvo type="min"/>
        <cfvo type="max"/>
        <color rgb="FFFF7128"/>
        <color theme="9"/>
      </colorScale>
    </cfRule>
    <cfRule type="cellIs" dxfId="2" priority="6" operator="equal">
      <formula>0</formula>
    </cfRule>
  </conditionalFormatting>
  <conditionalFormatting sqref="D16:AB115">
    <cfRule type="colorScale" priority="1">
      <colorScale>
        <cfvo type="min"/>
        <cfvo type="max"/>
        <color rgb="FFFF7128"/>
        <color theme="9"/>
      </colorScale>
    </cfRule>
    <cfRule type="cellIs" dxfId="1" priority="3" operator="equal">
      <formula>0</formula>
    </cfRule>
  </conditionalFormatting>
  <conditionalFormatting sqref="E7">
    <cfRule type="colorScale" priority="5">
      <colorScale>
        <cfvo type="min"/>
        <cfvo type="max"/>
        <color rgb="FFFF7128"/>
        <color theme="9"/>
      </colorScale>
    </cfRule>
  </conditionalFormatting>
  <conditionalFormatting sqref="E20 T20 X20 AB20 E30 E40 E50 E60 E70 E80 E90 E100 E110 T30 T40 T50 T60 T70 T80 T90 T100 T110 X30 X40 X50 X60 X70 X80 X90 X100 X110 AB30 AB40 AB50 AB60 AB70 AB80 AB90 AB100 AB110">
    <cfRule type="colorScale" priority="2">
      <colorScale>
        <cfvo type="min"/>
        <cfvo type="max"/>
        <color rgb="FFFF7128"/>
        <color theme="9"/>
      </colorScale>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94CB31-4E49-40FF-A731-51E2836E0182}">
  <dimension ref="B2:AB13"/>
  <sheetViews>
    <sheetView workbookViewId="0">
      <selection activeCell="Z18" sqref="Z18"/>
    </sheetView>
  </sheetViews>
  <sheetFormatPr defaultRowHeight="15"/>
  <cols>
    <col min="2" max="2" width="29.140625" bestFit="1" customWidth="1"/>
  </cols>
  <sheetData>
    <row r="2" spans="2:28">
      <c r="B2" t="s">
        <v>71</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0</v>
      </c>
      <c r="E3" s="1">
        <v>0</v>
      </c>
      <c r="F3" s="1">
        <v>42</v>
      </c>
      <c r="G3" s="1">
        <v>0</v>
      </c>
      <c r="H3" s="1">
        <v>0</v>
      </c>
      <c r="I3" s="1">
        <v>43</v>
      </c>
      <c r="J3" s="1">
        <v>0</v>
      </c>
      <c r="K3" s="1">
        <v>0</v>
      </c>
      <c r="L3" s="1">
        <v>0</v>
      </c>
      <c r="M3" s="1">
        <v>0</v>
      </c>
      <c r="N3" s="1">
        <v>0</v>
      </c>
      <c r="O3" s="1">
        <v>45</v>
      </c>
      <c r="P3" s="1">
        <v>0</v>
      </c>
      <c r="Q3" s="1">
        <v>0</v>
      </c>
      <c r="R3" s="1">
        <v>0</v>
      </c>
      <c r="S3" s="1">
        <v>0</v>
      </c>
      <c r="T3" s="1">
        <v>50</v>
      </c>
      <c r="U3" s="1">
        <v>34</v>
      </c>
      <c r="V3" s="1"/>
      <c r="W3" s="1"/>
      <c r="X3">
        <f>SUM(D3:W3)</f>
        <v>214</v>
      </c>
      <c r="Y3">
        <f>COUNT(D3:W3)</f>
        <v>18</v>
      </c>
      <c r="Z3">
        <f>COUNTIF(D3:W3,0)</f>
        <v>13</v>
      </c>
      <c r="AA3">
        <f>Y3-Z3</f>
        <v>5</v>
      </c>
      <c r="AB3">
        <f>X3/AA3</f>
        <v>42.8</v>
      </c>
    </row>
    <row r="4" spans="2:28">
      <c r="C4" t="s">
        <v>31</v>
      </c>
      <c r="D4" s="1">
        <v>0</v>
      </c>
      <c r="E4" s="1">
        <v>0</v>
      </c>
      <c r="F4" s="1">
        <v>0</v>
      </c>
      <c r="G4" s="1">
        <v>0</v>
      </c>
      <c r="H4" s="1">
        <v>0</v>
      </c>
      <c r="I4" s="1">
        <v>0</v>
      </c>
      <c r="J4" s="1">
        <v>0</v>
      </c>
      <c r="K4" s="1">
        <v>40</v>
      </c>
      <c r="L4" s="1">
        <v>0</v>
      </c>
      <c r="M4" s="1">
        <v>0</v>
      </c>
      <c r="N4" s="1">
        <v>41</v>
      </c>
      <c r="O4" s="1">
        <v>34</v>
      </c>
      <c r="P4" s="1">
        <v>0</v>
      </c>
      <c r="Q4" s="1">
        <v>43</v>
      </c>
      <c r="R4" s="1">
        <v>34</v>
      </c>
      <c r="S4" s="1">
        <v>45</v>
      </c>
      <c r="T4" s="1"/>
      <c r="U4" s="1"/>
      <c r="V4" s="1"/>
      <c r="W4" s="1"/>
      <c r="X4">
        <f t="shared" ref="X4:X12" si="0">SUM(D4:W4)</f>
        <v>237</v>
      </c>
      <c r="Y4">
        <f t="shared" ref="Y4:Y12" si="1">COUNT(D4:W4)</f>
        <v>16</v>
      </c>
      <c r="Z4">
        <f t="shared" ref="Z4:Z12" si="2">COUNTIF(D4:W4,0)</f>
        <v>10</v>
      </c>
      <c r="AA4">
        <f t="shared" ref="AA4:AA12" si="3">Y4-Z4</f>
        <v>6</v>
      </c>
      <c r="AB4">
        <f t="shared" ref="AB4:AB12" si="4">X4/AA4</f>
        <v>39.5</v>
      </c>
    </row>
    <row r="5" spans="2:28">
      <c r="C5" t="s">
        <v>32</v>
      </c>
      <c r="D5" s="1">
        <v>0</v>
      </c>
      <c r="E5" s="1">
        <v>0</v>
      </c>
      <c r="F5" s="1">
        <v>51</v>
      </c>
      <c r="G5" s="1">
        <v>0</v>
      </c>
      <c r="H5" s="1">
        <v>58</v>
      </c>
      <c r="I5" s="1">
        <v>0</v>
      </c>
      <c r="J5" s="1">
        <v>0</v>
      </c>
      <c r="K5" s="1">
        <v>40</v>
      </c>
      <c r="L5" s="1">
        <v>0</v>
      </c>
      <c r="M5" s="1">
        <v>39</v>
      </c>
      <c r="N5" s="1">
        <v>0</v>
      </c>
      <c r="O5" s="1">
        <v>0</v>
      </c>
      <c r="P5" s="1">
        <v>0</v>
      </c>
      <c r="Q5" s="1">
        <v>0</v>
      </c>
      <c r="R5" s="1">
        <v>31</v>
      </c>
      <c r="S5" s="1"/>
      <c r="T5" s="1"/>
      <c r="U5" s="1"/>
      <c r="V5" s="1"/>
      <c r="W5" s="1"/>
      <c r="X5">
        <f t="shared" si="0"/>
        <v>219</v>
      </c>
      <c r="Y5">
        <f t="shared" si="1"/>
        <v>15</v>
      </c>
      <c r="Z5">
        <f t="shared" si="2"/>
        <v>10</v>
      </c>
      <c r="AA5">
        <f t="shared" si="3"/>
        <v>5</v>
      </c>
      <c r="AB5">
        <f t="shared" si="4"/>
        <v>43.8</v>
      </c>
    </row>
    <row r="6" spans="2:28">
      <c r="C6" t="s">
        <v>33</v>
      </c>
      <c r="D6" s="1">
        <v>0</v>
      </c>
      <c r="E6" s="1">
        <v>0</v>
      </c>
      <c r="F6" s="1">
        <v>0</v>
      </c>
      <c r="G6" s="1">
        <v>44</v>
      </c>
      <c r="H6" s="1">
        <v>0</v>
      </c>
      <c r="I6" s="1">
        <v>59</v>
      </c>
      <c r="J6" s="1">
        <v>0</v>
      </c>
      <c r="K6" s="1">
        <v>0</v>
      </c>
      <c r="L6" s="1">
        <v>43</v>
      </c>
      <c r="M6" s="1">
        <v>45</v>
      </c>
      <c r="N6" s="1">
        <v>0</v>
      </c>
      <c r="O6" s="1">
        <v>0</v>
      </c>
      <c r="P6" s="1">
        <v>0</v>
      </c>
      <c r="Q6" s="1">
        <v>0</v>
      </c>
      <c r="R6" s="1">
        <v>0</v>
      </c>
      <c r="S6" s="1">
        <v>0</v>
      </c>
      <c r="T6" s="1">
        <v>0</v>
      </c>
      <c r="U6" s="1">
        <v>0</v>
      </c>
      <c r="V6" s="1">
        <v>42</v>
      </c>
      <c r="W6" s="1"/>
      <c r="X6">
        <f t="shared" si="0"/>
        <v>233</v>
      </c>
      <c r="Y6">
        <f t="shared" si="1"/>
        <v>19</v>
      </c>
      <c r="Z6">
        <f t="shared" si="2"/>
        <v>14</v>
      </c>
      <c r="AA6">
        <f t="shared" si="3"/>
        <v>5</v>
      </c>
      <c r="AB6">
        <f t="shared" si="4"/>
        <v>46.6</v>
      </c>
    </row>
    <row r="7" spans="2:28">
      <c r="C7" t="s">
        <v>34</v>
      </c>
      <c r="D7" s="1">
        <v>66</v>
      </c>
      <c r="E7" s="1">
        <v>45</v>
      </c>
      <c r="F7" s="1">
        <v>51</v>
      </c>
      <c r="G7" s="1">
        <v>0</v>
      </c>
      <c r="H7" s="1">
        <v>0</v>
      </c>
      <c r="I7" s="1">
        <v>0</v>
      </c>
      <c r="J7" s="1">
        <v>0</v>
      </c>
      <c r="K7" s="1">
        <v>60</v>
      </c>
      <c r="L7" s="1"/>
      <c r="M7" s="1"/>
      <c r="N7" s="1"/>
      <c r="O7" s="1"/>
      <c r="P7" s="1"/>
      <c r="Q7" s="1"/>
      <c r="R7" s="1"/>
      <c r="S7" s="1"/>
      <c r="T7" s="1"/>
      <c r="U7" s="1"/>
      <c r="V7" s="1"/>
      <c r="W7" s="1"/>
      <c r="X7">
        <f t="shared" si="0"/>
        <v>222</v>
      </c>
      <c r="Y7">
        <f t="shared" si="1"/>
        <v>8</v>
      </c>
      <c r="Z7">
        <f t="shared" si="2"/>
        <v>4</v>
      </c>
      <c r="AA7">
        <f t="shared" si="3"/>
        <v>4</v>
      </c>
      <c r="AB7">
        <f t="shared" si="4"/>
        <v>55.5</v>
      </c>
    </row>
    <row r="8" spans="2:28">
      <c r="C8" t="s">
        <v>35</v>
      </c>
      <c r="D8" s="1">
        <v>0</v>
      </c>
      <c r="E8" s="1">
        <v>0</v>
      </c>
      <c r="F8" s="1">
        <v>0</v>
      </c>
      <c r="G8" s="1">
        <v>0</v>
      </c>
      <c r="H8" s="1">
        <v>69</v>
      </c>
      <c r="I8" s="1">
        <v>0</v>
      </c>
      <c r="J8" s="1">
        <v>39</v>
      </c>
      <c r="K8" s="1">
        <v>0</v>
      </c>
      <c r="L8" s="1">
        <v>0</v>
      </c>
      <c r="M8" s="1">
        <v>0</v>
      </c>
      <c r="N8" s="1">
        <v>46</v>
      </c>
      <c r="O8" s="1">
        <v>53</v>
      </c>
      <c r="P8" s="1"/>
      <c r="Q8" s="1"/>
      <c r="R8" s="1"/>
      <c r="S8" s="1"/>
      <c r="T8" s="1"/>
      <c r="U8" s="1"/>
      <c r="V8" s="1"/>
      <c r="W8" s="1"/>
      <c r="X8">
        <f t="shared" si="0"/>
        <v>207</v>
      </c>
      <c r="Y8">
        <f t="shared" si="1"/>
        <v>12</v>
      </c>
      <c r="Z8">
        <f t="shared" si="2"/>
        <v>8</v>
      </c>
      <c r="AA8">
        <f t="shared" si="3"/>
        <v>4</v>
      </c>
      <c r="AB8">
        <f t="shared" si="4"/>
        <v>51.75</v>
      </c>
    </row>
    <row r="9" spans="2:28">
      <c r="C9" t="s">
        <v>36</v>
      </c>
      <c r="D9" s="1">
        <v>45</v>
      </c>
      <c r="E9" s="1">
        <v>0</v>
      </c>
      <c r="F9" s="1">
        <v>38</v>
      </c>
      <c r="G9" s="1">
        <v>53</v>
      </c>
      <c r="H9" s="1">
        <v>0</v>
      </c>
      <c r="I9" s="1">
        <v>41</v>
      </c>
      <c r="J9" s="1">
        <v>53</v>
      </c>
      <c r="K9" s="1"/>
      <c r="L9" s="1"/>
      <c r="M9" s="1"/>
      <c r="N9" s="1"/>
      <c r="O9" s="1"/>
      <c r="P9" s="1"/>
      <c r="Q9" s="1"/>
      <c r="R9" s="1"/>
      <c r="S9" s="1"/>
      <c r="T9" s="1"/>
      <c r="U9" s="1"/>
      <c r="V9" s="1"/>
      <c r="W9" s="1"/>
      <c r="X9">
        <f t="shared" si="0"/>
        <v>230</v>
      </c>
      <c r="Y9">
        <f t="shared" si="1"/>
        <v>7</v>
      </c>
      <c r="Z9">
        <f t="shared" si="2"/>
        <v>2</v>
      </c>
      <c r="AA9">
        <f t="shared" si="3"/>
        <v>5</v>
      </c>
      <c r="AB9">
        <f t="shared" si="4"/>
        <v>46</v>
      </c>
    </row>
    <row r="10" spans="2:28">
      <c r="C10" t="s">
        <v>37</v>
      </c>
      <c r="D10" s="1">
        <v>40</v>
      </c>
      <c r="E10" s="1">
        <v>51</v>
      </c>
      <c r="F10" s="1">
        <v>0</v>
      </c>
      <c r="G10" s="1">
        <v>45</v>
      </c>
      <c r="H10" s="1">
        <v>0</v>
      </c>
      <c r="I10" s="1">
        <v>0</v>
      </c>
      <c r="J10" s="1">
        <v>64</v>
      </c>
      <c r="K10" s="1"/>
      <c r="L10" s="1"/>
      <c r="M10" s="1"/>
      <c r="N10" s="1"/>
      <c r="O10" s="1"/>
      <c r="P10" s="1"/>
      <c r="Q10" s="1"/>
      <c r="R10" s="1"/>
      <c r="S10" s="1"/>
      <c r="T10" s="1"/>
      <c r="U10" s="1"/>
      <c r="V10" s="1"/>
      <c r="W10" s="1"/>
      <c r="X10">
        <f t="shared" si="0"/>
        <v>200</v>
      </c>
      <c r="Y10">
        <f t="shared" si="1"/>
        <v>7</v>
      </c>
      <c r="Z10">
        <f t="shared" si="2"/>
        <v>3</v>
      </c>
      <c r="AA10">
        <f t="shared" si="3"/>
        <v>4</v>
      </c>
      <c r="AB10">
        <f t="shared" si="4"/>
        <v>50</v>
      </c>
    </row>
    <row r="11" spans="2:28">
      <c r="C11" t="s">
        <v>38</v>
      </c>
      <c r="D11" s="1">
        <v>0</v>
      </c>
      <c r="E11" s="1">
        <v>40</v>
      </c>
      <c r="F11" s="1">
        <v>0</v>
      </c>
      <c r="G11" s="1">
        <v>45</v>
      </c>
      <c r="H11" s="1">
        <v>0</v>
      </c>
      <c r="I11" s="1">
        <v>0</v>
      </c>
      <c r="J11" s="1">
        <v>40</v>
      </c>
      <c r="K11" s="1">
        <v>0</v>
      </c>
      <c r="L11" s="1">
        <v>51</v>
      </c>
      <c r="M11" s="1">
        <v>0</v>
      </c>
      <c r="N11" s="1">
        <v>0</v>
      </c>
      <c r="O11" s="1">
        <v>0</v>
      </c>
      <c r="P11" s="1">
        <v>0</v>
      </c>
      <c r="Q11" s="1">
        <v>0</v>
      </c>
      <c r="R11" s="1">
        <v>0</v>
      </c>
      <c r="S11" s="1">
        <v>0</v>
      </c>
      <c r="T11" s="1">
        <v>73</v>
      </c>
      <c r="U11" s="1"/>
      <c r="V11" s="1"/>
      <c r="W11" s="1"/>
      <c r="X11">
        <f t="shared" si="0"/>
        <v>249</v>
      </c>
      <c r="Y11">
        <f t="shared" si="1"/>
        <v>17</v>
      </c>
      <c r="Z11">
        <f t="shared" si="2"/>
        <v>12</v>
      </c>
      <c r="AA11">
        <f t="shared" si="3"/>
        <v>5</v>
      </c>
      <c r="AB11">
        <f t="shared" si="4"/>
        <v>49.8</v>
      </c>
    </row>
    <row r="12" spans="2:28">
      <c r="C12" t="s">
        <v>39</v>
      </c>
      <c r="D12" s="1">
        <v>0</v>
      </c>
      <c r="E12" s="1">
        <v>0</v>
      </c>
      <c r="F12" s="1">
        <v>0</v>
      </c>
      <c r="G12" s="1">
        <v>0</v>
      </c>
      <c r="H12" s="1">
        <v>0</v>
      </c>
      <c r="I12" s="1">
        <v>44</v>
      </c>
      <c r="J12" s="1">
        <v>44</v>
      </c>
      <c r="K12" s="1">
        <v>0</v>
      </c>
      <c r="L12" s="1">
        <v>0</v>
      </c>
      <c r="M12" s="1">
        <v>45</v>
      </c>
      <c r="N12" s="1">
        <v>51</v>
      </c>
      <c r="O12" s="1">
        <v>77</v>
      </c>
      <c r="P12" s="1"/>
      <c r="Q12" s="1"/>
      <c r="R12" s="1"/>
      <c r="S12" s="1"/>
      <c r="T12" s="1"/>
      <c r="U12" s="1"/>
      <c r="V12" s="1"/>
      <c r="W12" s="1"/>
      <c r="X12">
        <f t="shared" si="0"/>
        <v>261</v>
      </c>
      <c r="Y12">
        <f t="shared" si="1"/>
        <v>12</v>
      </c>
      <c r="Z12">
        <f t="shared" si="2"/>
        <v>7</v>
      </c>
      <c r="AA12">
        <f t="shared" si="3"/>
        <v>5</v>
      </c>
      <c r="AB12">
        <f t="shared" si="4"/>
        <v>52.2</v>
      </c>
    </row>
    <row r="13" spans="2:28">
      <c r="X13" t="s">
        <v>52</v>
      </c>
      <c r="Y13">
        <f>AVERAGE(Y3:Y12)</f>
        <v>13.1</v>
      </c>
      <c r="Z13">
        <f t="shared" ref="Z13:AB13" si="5">AVERAGE(Z3:Z12)</f>
        <v>8.3000000000000007</v>
      </c>
      <c r="AA13">
        <f t="shared" si="5"/>
        <v>4.8</v>
      </c>
      <c r="AB13">
        <f t="shared" si="5"/>
        <v>47.795000000000002</v>
      </c>
    </row>
  </sheetData>
  <phoneticPr fontId="3" type="noConversion"/>
  <conditionalFormatting sqref="D3:W12">
    <cfRule type="colorScale" priority="1">
      <colorScale>
        <cfvo type="min"/>
        <cfvo type="max"/>
        <color rgb="FFFF7128"/>
        <color theme="9"/>
      </colorScale>
    </cfRule>
    <cfRule type="cellIs" dxfId="0"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Master Data</vt:lpstr>
      <vt:lpstr>Human No Prob</vt:lpstr>
      <vt:lpstr>Human Prob</vt:lpstr>
      <vt:lpstr>2 Card Bank</vt:lpstr>
      <vt:lpstr>3 Card Bank</vt:lpstr>
      <vt:lpstr>4 Card Bank</vt:lpstr>
      <vt:lpstr>Flip7 or Bust</vt:lpstr>
      <vt:lpstr>Bank Score 20+</vt:lpstr>
      <vt:lpstr>Bank Score 25+</vt:lpstr>
      <vt:lpstr>Bank Score 30+</vt:lpstr>
      <vt:lpstr>Bank Score 35+</vt:lpstr>
      <vt:lpstr>Bank Score 40+</vt:lpstr>
      <vt:lpstr>Cumulative Odds 70%</vt:lpstr>
      <vt:lpstr>Cumulative Odds 60%</vt:lpstr>
      <vt:lpstr>Cumulative Odds 50%</vt:lpstr>
      <vt:lpstr>Cumulative Odds 40%</vt:lpstr>
      <vt:lpstr>Cumulative Odds 30%</vt:lpstr>
      <vt:lpstr>Individual Odds 10%</vt:lpstr>
      <vt:lpstr>Individual Odds 20%</vt:lpstr>
      <vt:lpstr>Individual Odds 30%</vt:lpstr>
      <vt:lpstr>Individual Odds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Bobby Lang</dc:creator>
  <cp:lastModifiedBy>Bobby Lang</cp:lastModifiedBy>
  <dcterms:created xsi:type="dcterms:W3CDTF">2026-04-24T11:28:10Z</dcterms:created>
  <dcterms:modified xsi:type="dcterms:W3CDTF">2026-06-26T09:03:06Z</dcterms:modified>
</cp:coreProperties>
</file>